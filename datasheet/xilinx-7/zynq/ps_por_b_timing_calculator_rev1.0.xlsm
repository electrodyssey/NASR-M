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enist\Embedded\Docs\Zynq-7000\"/>
    </mc:Choice>
  </mc:AlternateContent>
  <bookViews>
    <workbookView xWindow="120" yWindow="690" windowWidth="8790" windowHeight="3525"/>
  </bookViews>
  <sheets>
    <sheet name="main" sheetId="11" r:id="rId1"/>
    <sheet name="tpor timing Larry" sheetId="1" state="hidden" r:id="rId2"/>
    <sheet name="tpor timing" sheetId="4" state="hidden" r:id="rId3"/>
    <sheet name="calculator" sheetId="2" state="hidden" r:id="rId4"/>
    <sheet name="Carl Diagram" sheetId="6" state="hidden" r:id="rId5"/>
  </sheets>
  <definedNames>
    <definedName name="dev_name">main!$A$6</definedName>
    <definedName name="Device">main!$S$6:$S$14</definedName>
    <definedName name="device_name">main!$A$6</definedName>
    <definedName name="Enter_device">main!$S$6:$S$14</definedName>
    <definedName name="spd">main!$V$6:$V$10</definedName>
    <definedName name="speed">main!$V$6:$V$10</definedName>
    <definedName name="zynq_dev">main!$S$6:$S$14</definedName>
    <definedName name="zynq_speed">main!$V$6:$V$10</definedName>
  </definedNames>
  <calcPr calcId="152511"/>
</workbook>
</file>

<file path=xl/calcChain.xml><?xml version="1.0" encoding="utf-8"?>
<calcChain xmlns="http://schemas.openxmlformats.org/spreadsheetml/2006/main">
  <c r="D10" i="11" l="1"/>
  <c r="D15" i="11" s="1"/>
  <c r="I19" i="11" l="1"/>
  <c r="D11" i="11"/>
  <c r="D14" i="11" s="1"/>
  <c r="I18" i="11" l="1"/>
  <c r="H5" i="2" l="1"/>
  <c r="H6" i="2" s="1"/>
  <c r="I5" i="2" l="1"/>
  <c r="I6" i="2" l="1"/>
  <c r="J5" i="2" s="1"/>
  <c r="K5" i="2" l="1"/>
</calcChain>
</file>

<file path=xl/sharedStrings.xml><?xml version="1.0" encoding="utf-8"?>
<sst xmlns="http://schemas.openxmlformats.org/spreadsheetml/2006/main" count="100" uniqueCount="86">
  <si>
    <t>Tpor</t>
  </si>
  <si>
    <t>Tps_por_b, safe</t>
  </si>
  <si>
    <t>RTL sim time</t>
  </si>
  <si>
    <t xml:space="preserve">                              </t>
  </si>
  <si>
    <t>Speed Grade</t>
  </si>
  <si>
    <t>For 12 ms ramp</t>
  </si>
  <si>
    <t>efuse Tolerance</t>
  </si>
  <si>
    <t>RTL Tolerance</t>
  </si>
  <si>
    <t>R=Supply ramp rate</t>
  </si>
  <si>
    <t>G=Additional guard band</t>
  </si>
  <si>
    <t>tpor_max=tpor_min+R+G</t>
  </si>
  <si>
    <t>tps_por_b_safe_e_min=tpor_min-(2.3+50%)-(1.3+10%)</t>
  </si>
  <si>
    <t>tps_por_b_safe_l_min=tpor,min-(2.3-50%)</t>
  </si>
  <si>
    <t>1. pcfg_por_b can shift +/- 50% from the nominal 2.3 ms value. For early de-assertion of ps_por_b, we consider 2.3+50% window which should take care of both
10.1 and 11.1 failure.
2. For late de-assertion of ps_por_b, we consider 2.3 - 50% window which should consider both 10.1 and 11.1 failure scenario
3. Another set of ps_por_b, safe needs to be done with tpor, max
4. The early de-assertion of ps_por_b is, tps_por_b_early=min(ps_por_b_safe_e_min,tps_por_b_safe_e_max)
5. The late de-assertion of tps_por_b is tps_por_b_late=max(tps_por_b_safe_l_min,tps_por_b_safe_l_max)</t>
  </si>
  <si>
    <t>tps_por_b_safe_e_max=tpor_min-(2.3+50%)-(1.3+10%)+R+G</t>
  </si>
  <si>
    <t>tps_por_b_safe_l_max=tpor,min-(2.3-50%)+R+G</t>
  </si>
  <si>
    <t>Ramp</t>
  </si>
  <si>
    <t>Guard</t>
  </si>
  <si>
    <t>Tps_por_b_early</t>
  </si>
  <si>
    <t>Tps_por_b_late</t>
  </si>
  <si>
    <t>cfg simulation</t>
  </si>
  <si>
    <t>R=supply Ramp,  G=guardband</t>
  </si>
  <si>
    <t>tps_por_safe_early = MIN(tpor - Tx) = tpor_min + MAX(Tx) = tpor_min - MAX (1.3 + 10%)</t>
  </si>
  <si>
    <t>tps_por_safe_late = MAX(tpor - Ty) = (tpor_max + R) - MIN(Ty) = MAX(tpor) - MIN((2.3 ms +/- 50%) - (1.3 +/- 50%))</t>
  </si>
  <si>
    <t>cfg_reset</t>
  </si>
  <si>
    <t>PL</t>
  </si>
  <si>
    <t>Power supply ramp</t>
  </si>
  <si>
    <t>por_b</t>
  </si>
  <si>
    <t>INIT_B</t>
  </si>
  <si>
    <t>PS</t>
  </si>
  <si>
    <t>PS_POR_B</t>
  </si>
  <si>
    <t>n_clk_rst</t>
  </si>
  <si>
    <t>arm_pll_locked</t>
  </si>
  <si>
    <t>pcfg_prog_b</t>
  </si>
  <si>
    <t>pcfg_reset_b read</t>
  </si>
  <si>
    <t>A</t>
  </si>
  <si>
    <t>Tpor - Treset2init</t>
  </si>
  <si>
    <t>B</t>
  </si>
  <si>
    <t>Tpsporb_rise + Tpspor2clkrst + Tlock_pspll + Tlock2progb_fall</t>
  </si>
  <si>
    <t>C</t>
  </si>
  <si>
    <t>Tpsporb_rise + Tpspor2clkrst + Tlock_pspll + Tlock2reset_read</t>
  </si>
  <si>
    <t>A must be less than B for reset to take effect</t>
  </si>
  <si>
    <t>A must be greater than C for reset asserted to be read</t>
  </si>
  <si>
    <t>PS_CLK</t>
  </si>
  <si>
    <t>MHz</t>
  </si>
  <si>
    <t>Thouseclean</t>
  </si>
  <si>
    <t>Enter device</t>
  </si>
  <si>
    <t>Enter speed</t>
  </si>
  <si>
    <t>Tintporb2init</t>
  </si>
  <si>
    <t>User input</t>
  </si>
  <si>
    <t>Intermediate calculation, ms</t>
  </si>
  <si>
    <t>Unit</t>
  </si>
  <si>
    <t>NA</t>
  </si>
  <si>
    <t>Notes</t>
  </si>
  <si>
    <t xml:space="preserve">1. If the measured time between last PL supply to PS_POR_B de-assertion is less than </t>
  </si>
  <si>
    <t>ms, the user will not see the issue</t>
  </si>
  <si>
    <t xml:space="preserve">2. If the measured time between last PL supply to PS_POR_B de-assertion is greater than </t>
  </si>
  <si>
    <t>Secure Lockdown timing window (Tslw), ms</t>
  </si>
  <si>
    <t xml:space="preserve">Elaboration </t>
  </si>
  <si>
    <t>Tpor,min=Min power on reset time</t>
  </si>
  <si>
    <t>Tpor,max=Max power on reset time</t>
  </si>
  <si>
    <t>Tintporb2init=FPGA por_b to init time, estimated</t>
  </si>
  <si>
    <t>Tcycles= Clock cycles to reach secure lockdown window, estimated (sim)</t>
  </si>
  <si>
    <t>Fps_clk=Frequency of PS_CLK</t>
  </si>
  <si>
    <t>Legend</t>
  </si>
  <si>
    <t>Tramp=Supply ramp time</t>
  </si>
  <si>
    <t xml:space="preserve">1. For Tslw(min) calculation +50% variation in Tintporb2init has been considered to account for PVT </t>
  </si>
  <si>
    <t>2. For Tslw(min) calculation +20% margin in Tcycles has been considered which includes PLL lock time variation</t>
  </si>
  <si>
    <t xml:space="preserve">3. For Tslw(max) calculation -50% variation in Tintporb2init has been considered to account for PVT </t>
  </si>
  <si>
    <t>4. For Tslw(max) calculation -20% margin in Tcycles has been considered which includes PLL lock time variation</t>
  </si>
  <si>
    <t>5. For Tslw(max) calculation, 95% of the supply ramp time has been considered</t>
  </si>
  <si>
    <t>Thouseclean=FPGA house clean time</t>
  </si>
  <si>
    <t>6. Reason for including worst case positive variation/margin in Tslw(min) calculation is to include worst case positive changes in the variables to get a conservative window</t>
  </si>
  <si>
    <t>7. Reason for including worst case negative variation/margin in Tslw(max) calculation is to include worst case negative changes in the variables to get a conservative window</t>
  </si>
  <si>
    <t>8. In the Tcycles calculation, multiplication with 1/1000 converts the time unit to ms (since Fps_clk is in MHz)</t>
  </si>
  <si>
    <t>Use 128K CRC</t>
  </si>
  <si>
    <t>T128kcrc= Clock cycles to compute additional 128k CRC (sim)</t>
  </si>
  <si>
    <t>Tslw (min)= Tpor,min-150%*Tintporb2init-120%*Tcycles*1/Fps_clk*1/1000-T128kcrc*1/Fps_clk*1/1000 (if 128k CRC is enabled)</t>
  </si>
  <si>
    <t>Tslw (max)= Tpor,max+95%*Tramp-50%*Thouseclean-80%*Tcycles*1/Fps_clk*1/1000-T128kcrc*1/Fps_clk*1/1000 (if 128k CRC is enabled)</t>
  </si>
  <si>
    <t>PLL Bypassed</t>
  </si>
  <si>
    <t>9. In the PLL bypass mode, the effective reference clock frequency is divided by 26 since VCO is turned off</t>
  </si>
  <si>
    <t>10. In the PLL bypass mode, the 20% margin considered in the calculation for PS reaching secure lockdown window adds up significantly in the overall secure lockdown window</t>
  </si>
  <si>
    <t>Enter supply ramp-last PL ramp
0-100%</t>
  </si>
  <si>
    <t>ms</t>
  </si>
  <si>
    <t>Tslw (min)</t>
  </si>
  <si>
    <t>Tslw (max)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</si>
</sst>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Up="1">
      <left/>
      <right/>
      <top/>
      <bottom/>
      <diagonal style="thin">
        <color indexed="64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wrapText="1"/>
    </xf>
    <xf numFmtId="0" fontId="0" fillId="0" borderId="1" xfId="0" applyBorder="1"/>
    <xf numFmtId="0" fontId="0" fillId="0" borderId="0" xfId="0" applyBorder="1" applyAlignment="1"/>
    <xf numFmtId="0" fontId="0" fillId="0" borderId="1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0" xfId="0" applyBorder="1"/>
    <xf numFmtId="0" fontId="0" fillId="0" borderId="7" xfId="0" applyBorder="1"/>
    <xf numFmtId="0" fontId="0" fillId="0" borderId="6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5" xfId="0" applyFill="1" applyBorder="1" applyAlignment="1"/>
    <xf numFmtId="0" fontId="0" fillId="4" borderId="4" xfId="0" applyFill="1" applyBorder="1" applyAlignment="1"/>
    <xf numFmtId="0" fontId="0" fillId="0" borderId="1" xfId="0" applyBorder="1" applyProtection="1"/>
    <xf numFmtId="0" fontId="0" fillId="4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3" borderId="1" xfId="0" applyFill="1" applyBorder="1" applyProtection="1"/>
    <xf numFmtId="0" fontId="0" fillId="3" borderId="2" xfId="0" applyFill="1" applyBorder="1" applyProtection="1"/>
    <xf numFmtId="0" fontId="0" fillId="0" borderId="0" xfId="0" applyProtection="1"/>
    <xf numFmtId="0" fontId="0" fillId="0" borderId="1" xfId="0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0" fontId="1" fillId="0" borderId="0" xfId="0" applyFont="1" applyBorder="1" applyProtection="1">
      <protection hidden="1"/>
    </xf>
    <xf numFmtId="0" fontId="1" fillId="0" borderId="0" xfId="0" applyFont="1" applyBorder="1" applyProtection="1">
      <protection locked="0"/>
    </xf>
    <xf numFmtId="0" fontId="0" fillId="3" borderId="10" xfId="0" applyFill="1" applyBorder="1" applyProtection="1"/>
    <xf numFmtId="0" fontId="2" fillId="0" borderId="0" xfId="0" applyFont="1" applyBorder="1" applyProtection="1">
      <protection locked="0"/>
    </xf>
    <xf numFmtId="0" fontId="0" fillId="0" borderId="0" xfId="0" applyFill="1" applyBorder="1" applyAlignment="1" applyProtection="1"/>
    <xf numFmtId="0" fontId="0" fillId="4" borderId="0" xfId="0" applyFill="1"/>
    <xf numFmtId="0" fontId="0" fillId="0" borderId="1" xfId="0" applyFill="1" applyBorder="1" applyProtection="1">
      <protection locked="0"/>
    </xf>
    <xf numFmtId="0" fontId="0" fillId="0" borderId="1" xfId="0" applyBorder="1" applyAlignment="1">
      <alignment horizontal="right"/>
    </xf>
    <xf numFmtId="0" fontId="1" fillId="0" borderId="0" xfId="0" applyFont="1"/>
    <xf numFmtId="0" fontId="0" fillId="0" borderId="1" xfId="0" applyBorder="1" applyAlignment="1" applyProtection="1">
      <alignment wrapText="1"/>
      <protection locked="0"/>
    </xf>
    <xf numFmtId="0" fontId="3" fillId="0" borderId="0" xfId="0" applyFont="1"/>
    <xf numFmtId="0" fontId="0" fillId="0" borderId="13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4" borderId="1" xfId="0" applyFill="1" applyBorder="1" applyAlignment="1" applyProtection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0" fillId="4" borderId="10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0" borderId="13" xfId="0" applyBorder="1" applyAlignment="1" applyProtection="1">
      <alignment horizontal="left" wrapText="1"/>
    </xf>
    <xf numFmtId="0" fontId="0" fillId="0" borderId="0" xfId="0" applyBorder="1" applyAlignment="1" applyProtection="1">
      <alignment horizontal="left" wrapText="1"/>
    </xf>
    <xf numFmtId="0" fontId="0" fillId="4" borderId="10" xfId="0" applyFill="1" applyBorder="1" applyAlignment="1" applyProtection="1">
      <alignment horizontal="left"/>
    </xf>
    <xf numFmtId="0" fontId="0" fillId="4" borderId="11" xfId="0" applyFill="1" applyBorder="1" applyAlignment="1" applyProtection="1">
      <alignment horizontal="left"/>
    </xf>
    <xf numFmtId="0" fontId="0" fillId="4" borderId="4" xfId="0" applyFill="1" applyBorder="1" applyAlignment="1">
      <alignment horizontal="left"/>
    </xf>
    <xf numFmtId="0" fontId="0" fillId="4" borderId="8" xfId="0" applyFill="1" applyBorder="1" applyAlignment="1">
      <alignment horizontal="left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6</xdr:row>
      <xdr:rowOff>9525</xdr:rowOff>
    </xdr:from>
    <xdr:to>
      <xdr:col>19</xdr:col>
      <xdr:colOff>28575</xdr:colOff>
      <xdr:row>6</xdr:row>
      <xdr:rowOff>11339</xdr:rowOff>
    </xdr:to>
    <xdr:cxnSp macro="">
      <xdr:nvCxnSpPr>
        <xdr:cNvPr id="5" name="Straight Connector 4"/>
        <xdr:cNvCxnSpPr/>
      </xdr:nvCxnSpPr>
      <xdr:spPr>
        <a:xfrm flipV="1">
          <a:off x="9797143" y="1166132"/>
          <a:ext cx="1865539" cy="1814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572860</xdr:colOff>
      <xdr:row>7</xdr:row>
      <xdr:rowOff>192315</xdr:rowOff>
    </xdr:from>
    <xdr:to>
      <xdr:col>16</xdr:col>
      <xdr:colOff>11339</xdr:colOff>
      <xdr:row>8</xdr:row>
      <xdr:rowOff>11339</xdr:rowOff>
    </xdr:to>
    <xdr:cxnSp macro="">
      <xdr:nvCxnSpPr>
        <xdr:cNvPr id="7" name="Straight Connector 6"/>
        <xdr:cNvCxnSpPr/>
      </xdr:nvCxnSpPr>
      <xdr:spPr>
        <a:xfrm>
          <a:off x="3022146" y="1541690"/>
          <a:ext cx="6786336" cy="11792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12</xdr:row>
      <xdr:rowOff>0</xdr:rowOff>
    </xdr:from>
    <xdr:to>
      <xdr:col>11</xdr:col>
      <xdr:colOff>9525</xdr:colOff>
      <xdr:row>12</xdr:row>
      <xdr:rowOff>0</xdr:rowOff>
    </xdr:to>
    <xdr:cxnSp macro="">
      <xdr:nvCxnSpPr>
        <xdr:cNvPr id="12" name="Straight Connector 11"/>
        <xdr:cNvCxnSpPr/>
      </xdr:nvCxnSpPr>
      <xdr:spPr>
        <a:xfrm>
          <a:off x="2171700" y="2286000"/>
          <a:ext cx="454342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</xdr:row>
      <xdr:rowOff>171450</xdr:rowOff>
    </xdr:from>
    <xdr:to>
      <xdr:col>19</xdr:col>
      <xdr:colOff>0</xdr:colOff>
      <xdr:row>9</xdr:row>
      <xdr:rowOff>171450</xdr:rowOff>
    </xdr:to>
    <xdr:cxnSp macro="">
      <xdr:nvCxnSpPr>
        <xdr:cNvPr id="14" name="Straight Connector 13"/>
        <xdr:cNvCxnSpPr/>
      </xdr:nvCxnSpPr>
      <xdr:spPr>
        <a:xfrm>
          <a:off x="6715125" y="1885950"/>
          <a:ext cx="486727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</xdr:row>
      <xdr:rowOff>180975</xdr:rowOff>
    </xdr:from>
    <xdr:to>
      <xdr:col>11</xdr:col>
      <xdr:colOff>9525</xdr:colOff>
      <xdr:row>12</xdr:row>
      <xdr:rowOff>9525</xdr:rowOff>
    </xdr:to>
    <xdr:cxnSp macro="">
      <xdr:nvCxnSpPr>
        <xdr:cNvPr id="16" name="Straight Connector 15"/>
        <xdr:cNvCxnSpPr/>
      </xdr:nvCxnSpPr>
      <xdr:spPr>
        <a:xfrm>
          <a:off x="6715125" y="1895475"/>
          <a:ext cx="0" cy="400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376671</xdr:colOff>
      <xdr:row>16</xdr:row>
      <xdr:rowOff>23380</xdr:rowOff>
    </xdr:from>
    <xdr:to>
      <xdr:col>13</xdr:col>
      <xdr:colOff>605271</xdr:colOff>
      <xdr:row>16</xdr:row>
      <xdr:rowOff>23380</xdr:rowOff>
    </xdr:to>
    <xdr:cxnSp macro="">
      <xdr:nvCxnSpPr>
        <xdr:cNvPr id="18" name="Straight Connector 17"/>
        <xdr:cNvCxnSpPr/>
      </xdr:nvCxnSpPr>
      <xdr:spPr>
        <a:xfrm>
          <a:off x="2205471" y="2905125"/>
          <a:ext cx="632460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600075</xdr:colOff>
      <xdr:row>13</xdr:row>
      <xdr:rowOff>180975</xdr:rowOff>
    </xdr:from>
    <xdr:to>
      <xdr:col>18</xdr:col>
      <xdr:colOff>571500</xdr:colOff>
      <xdr:row>13</xdr:row>
      <xdr:rowOff>180975</xdr:rowOff>
    </xdr:to>
    <xdr:cxnSp macro="">
      <xdr:nvCxnSpPr>
        <xdr:cNvPr id="20" name="Straight Connector 19"/>
        <xdr:cNvCxnSpPr/>
      </xdr:nvCxnSpPr>
      <xdr:spPr>
        <a:xfrm>
          <a:off x="8524875" y="2657475"/>
          <a:ext cx="301942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600075</xdr:colOff>
      <xdr:row>14</xdr:row>
      <xdr:rowOff>0</xdr:rowOff>
    </xdr:from>
    <xdr:to>
      <xdr:col>14</xdr:col>
      <xdr:colOff>0</xdr:colOff>
      <xdr:row>16</xdr:row>
      <xdr:rowOff>9525</xdr:rowOff>
    </xdr:to>
    <xdr:cxnSp macro="">
      <xdr:nvCxnSpPr>
        <xdr:cNvPr id="22" name="Straight Connector 21"/>
        <xdr:cNvCxnSpPr/>
      </xdr:nvCxnSpPr>
      <xdr:spPr>
        <a:xfrm>
          <a:off x="8524875" y="2667000"/>
          <a:ext cx="9525" cy="390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276225</xdr:colOff>
      <xdr:row>6</xdr:row>
      <xdr:rowOff>57150</xdr:rowOff>
    </xdr:from>
    <xdr:to>
      <xdr:col>4</xdr:col>
      <xdr:colOff>571500</xdr:colOff>
      <xdr:row>8</xdr:row>
      <xdr:rowOff>114300</xdr:rowOff>
    </xdr:to>
    <xdr:sp macro="" textlink="">
      <xdr:nvSpPr>
        <xdr:cNvPr id="36" name="TextBox 35"/>
        <xdr:cNvSpPr txBox="1"/>
      </xdr:nvSpPr>
      <xdr:spPr>
        <a:xfrm>
          <a:off x="1495425" y="1200150"/>
          <a:ext cx="1514475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INIT_B (pad)</a:t>
          </a:r>
        </a:p>
      </xdr:txBody>
    </xdr:sp>
    <xdr:clientData/>
  </xdr:twoCellAnchor>
  <xdr:twoCellAnchor>
    <xdr:from>
      <xdr:col>2</xdr:col>
      <xdr:colOff>266700</xdr:colOff>
      <xdr:row>9</xdr:row>
      <xdr:rowOff>85725</xdr:rowOff>
    </xdr:from>
    <xdr:to>
      <xdr:col>4</xdr:col>
      <xdr:colOff>561975</xdr:colOff>
      <xdr:row>11</xdr:row>
      <xdr:rowOff>142875</xdr:rowOff>
    </xdr:to>
    <xdr:sp macro="" textlink="">
      <xdr:nvSpPr>
        <xdr:cNvPr id="37" name="TextBox 36"/>
        <xdr:cNvSpPr txBox="1"/>
      </xdr:nvSpPr>
      <xdr:spPr>
        <a:xfrm>
          <a:off x="1485900" y="1800225"/>
          <a:ext cx="1514475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pcfg_por_b (internal)</a:t>
          </a:r>
        </a:p>
      </xdr:txBody>
    </xdr:sp>
    <xdr:clientData/>
  </xdr:twoCellAnchor>
  <xdr:twoCellAnchor>
    <xdr:from>
      <xdr:col>2</xdr:col>
      <xdr:colOff>276225</xdr:colOff>
      <xdr:row>13</xdr:row>
      <xdr:rowOff>85725</xdr:rowOff>
    </xdr:from>
    <xdr:to>
      <xdr:col>4</xdr:col>
      <xdr:colOff>571500</xdr:colOff>
      <xdr:row>15</xdr:row>
      <xdr:rowOff>142875</xdr:rowOff>
    </xdr:to>
    <xdr:sp macro="" textlink="">
      <xdr:nvSpPr>
        <xdr:cNvPr id="38" name="TextBox 37"/>
        <xdr:cNvSpPr txBox="1"/>
      </xdr:nvSpPr>
      <xdr:spPr>
        <a:xfrm>
          <a:off x="1495425" y="2562225"/>
          <a:ext cx="1514475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pcfg_reset_b (internal)</a:t>
          </a:r>
        </a:p>
      </xdr:txBody>
    </xdr:sp>
    <xdr:clientData/>
  </xdr:twoCellAnchor>
  <xdr:twoCellAnchor>
    <xdr:from>
      <xdr:col>2</xdr:col>
      <xdr:colOff>261153</xdr:colOff>
      <xdr:row>24</xdr:row>
      <xdr:rowOff>110836</xdr:rowOff>
    </xdr:from>
    <xdr:to>
      <xdr:col>4</xdr:col>
      <xdr:colOff>582706</xdr:colOff>
      <xdr:row>26</xdr:row>
      <xdr:rowOff>124691</xdr:rowOff>
    </xdr:to>
    <xdr:sp macro="" textlink="">
      <xdr:nvSpPr>
        <xdr:cNvPr id="39" name="TextBox 38"/>
        <xdr:cNvSpPr txBox="1"/>
      </xdr:nvSpPr>
      <xdr:spPr>
        <a:xfrm>
          <a:off x="1480353" y="4433454"/>
          <a:ext cx="1540753" cy="3740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PS_POR_B (pad)</a:t>
          </a:r>
        </a:p>
      </xdr:txBody>
    </xdr:sp>
    <xdr:clientData/>
  </xdr:twoCellAnchor>
  <xdr:twoCellAnchor>
    <xdr:from>
      <xdr:col>7</xdr:col>
      <xdr:colOff>571501</xdr:colOff>
      <xdr:row>33</xdr:row>
      <xdr:rowOff>9525</xdr:rowOff>
    </xdr:from>
    <xdr:to>
      <xdr:col>13</xdr:col>
      <xdr:colOff>581025</xdr:colOff>
      <xdr:row>35</xdr:row>
      <xdr:rowOff>104775</xdr:rowOff>
    </xdr:to>
    <xdr:grpSp>
      <xdr:nvGrpSpPr>
        <xdr:cNvPr id="48" name="Group 47"/>
        <xdr:cNvGrpSpPr/>
      </xdr:nvGrpSpPr>
      <xdr:grpSpPr>
        <a:xfrm>
          <a:off x="4838701" y="5953125"/>
          <a:ext cx="3667124" cy="455468"/>
          <a:chOff x="4838701" y="4772025"/>
          <a:chExt cx="3667124" cy="476250"/>
        </a:xfrm>
      </xdr:grpSpPr>
      <xdr:cxnSp macro="">
        <xdr:nvCxnSpPr>
          <xdr:cNvPr id="44" name="Straight Arrow Connector 43"/>
          <xdr:cNvCxnSpPr/>
        </xdr:nvCxnSpPr>
        <xdr:spPr>
          <a:xfrm flipH="1" flipV="1">
            <a:off x="4838701" y="4978161"/>
            <a:ext cx="828674" cy="9525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Arrow Connector 45"/>
          <xdr:cNvCxnSpPr/>
        </xdr:nvCxnSpPr>
        <xdr:spPr>
          <a:xfrm>
            <a:off x="7324725" y="4981575"/>
            <a:ext cx="1181100" cy="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/>
          <xdr:cNvSpPr txBox="1"/>
        </xdr:nvSpPr>
        <xdr:spPr>
          <a:xfrm>
            <a:off x="5610225" y="4772025"/>
            <a:ext cx="1685925" cy="4762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Possibility</a:t>
            </a:r>
            <a:r>
              <a:rPr lang="en-US" sz="1100" baseline="0"/>
              <a:t> of lockdown window, 10.1 or 11.1</a:t>
            </a:r>
            <a:endParaRPr lang="en-US" sz="1100"/>
          </a:p>
        </xdr:txBody>
      </xdr:sp>
    </xdr:grpSp>
    <xdr:clientData/>
  </xdr:twoCellAnchor>
  <xdr:twoCellAnchor>
    <xdr:from>
      <xdr:col>8</xdr:col>
      <xdr:colOff>466725</xdr:colOff>
      <xdr:row>12</xdr:row>
      <xdr:rowOff>83821</xdr:rowOff>
    </xdr:from>
    <xdr:to>
      <xdr:col>10</xdr:col>
      <xdr:colOff>238125</xdr:colOff>
      <xdr:row>15</xdr:row>
      <xdr:rowOff>152399</xdr:rowOff>
    </xdr:to>
    <xdr:sp macro="" textlink="">
      <xdr:nvSpPr>
        <xdr:cNvPr id="52" name="TextBox 51"/>
        <xdr:cNvSpPr txBox="1"/>
      </xdr:nvSpPr>
      <xdr:spPr>
        <a:xfrm>
          <a:off x="5343525" y="2278381"/>
          <a:ext cx="990600" cy="6172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1.3 ms</a:t>
          </a:r>
          <a:r>
            <a:rPr lang="en-US" sz="1100" baseline="0"/>
            <a:t> + 10% guardband</a:t>
          </a:r>
        </a:p>
        <a:p>
          <a:r>
            <a:rPr lang="en-US" sz="1100" baseline="0"/>
            <a:t>RTL sim</a:t>
          </a:r>
          <a:endParaRPr lang="en-US" sz="1100"/>
        </a:p>
      </xdr:txBody>
    </xdr:sp>
    <xdr:clientData/>
  </xdr:twoCellAnchor>
  <xdr:twoCellAnchor>
    <xdr:from>
      <xdr:col>11</xdr:col>
      <xdr:colOff>485775</xdr:colOff>
      <xdr:row>11</xdr:row>
      <xdr:rowOff>1679</xdr:rowOff>
    </xdr:from>
    <xdr:to>
      <xdr:col>13</xdr:col>
      <xdr:colOff>257175</xdr:colOff>
      <xdr:row>14</xdr:row>
      <xdr:rowOff>125505</xdr:rowOff>
    </xdr:to>
    <xdr:sp macro="" textlink="">
      <xdr:nvSpPr>
        <xdr:cNvPr id="58" name="TextBox 57"/>
        <xdr:cNvSpPr txBox="1"/>
      </xdr:nvSpPr>
      <xdr:spPr>
        <a:xfrm>
          <a:off x="7191375" y="1973914"/>
          <a:ext cx="990600" cy="661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1.3 ms</a:t>
          </a:r>
          <a:r>
            <a:rPr lang="en-US" sz="1100" baseline="0"/>
            <a:t> +/- 50% variation</a:t>
          </a:r>
          <a:br>
            <a:rPr lang="en-US" sz="1100" baseline="0"/>
          </a:br>
          <a:r>
            <a:rPr lang="en-US" sz="1100" baseline="0"/>
            <a:t>CFG sim</a:t>
          </a:r>
          <a:endParaRPr lang="en-US" sz="1100"/>
        </a:p>
      </xdr:txBody>
    </xdr:sp>
    <xdr:clientData/>
  </xdr:twoCellAnchor>
  <xdr:twoCellAnchor>
    <xdr:from>
      <xdr:col>11</xdr:col>
      <xdr:colOff>9525</xdr:colOff>
      <xdr:row>12</xdr:row>
      <xdr:rowOff>9525</xdr:rowOff>
    </xdr:from>
    <xdr:to>
      <xdr:col>11</xdr:col>
      <xdr:colOff>495300</xdr:colOff>
      <xdr:row>12</xdr:row>
      <xdr:rowOff>9525</xdr:rowOff>
    </xdr:to>
    <xdr:cxnSp macro="">
      <xdr:nvCxnSpPr>
        <xdr:cNvPr id="59" name="Straight Arrow Connector 58"/>
        <xdr:cNvCxnSpPr/>
      </xdr:nvCxnSpPr>
      <xdr:spPr>
        <a:xfrm flipH="1">
          <a:off x="6715125" y="2295525"/>
          <a:ext cx="4857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600076</xdr:colOff>
      <xdr:row>22</xdr:row>
      <xdr:rowOff>13855</xdr:rowOff>
    </xdr:from>
    <xdr:to>
      <xdr:col>8</xdr:col>
      <xdr:colOff>13855</xdr:colOff>
      <xdr:row>33</xdr:row>
      <xdr:rowOff>28575</xdr:rowOff>
    </xdr:to>
    <xdr:cxnSp macro="">
      <xdr:nvCxnSpPr>
        <xdr:cNvPr id="62" name="Straight Connector 61"/>
        <xdr:cNvCxnSpPr/>
      </xdr:nvCxnSpPr>
      <xdr:spPr>
        <a:xfrm flipH="1">
          <a:off x="4867276" y="3976255"/>
          <a:ext cx="23379" cy="199592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133350</xdr:rowOff>
    </xdr:from>
    <xdr:to>
      <xdr:col>11</xdr:col>
      <xdr:colOff>9525</xdr:colOff>
      <xdr:row>33</xdr:row>
      <xdr:rowOff>0</xdr:rowOff>
    </xdr:to>
    <xdr:cxnSp macro="">
      <xdr:nvCxnSpPr>
        <xdr:cNvPr id="63" name="Straight Connector 62"/>
        <xdr:cNvCxnSpPr/>
      </xdr:nvCxnSpPr>
      <xdr:spPr>
        <a:xfrm flipH="1">
          <a:off x="6705600" y="133350"/>
          <a:ext cx="9525" cy="581025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0</xdr:row>
      <xdr:rowOff>114300</xdr:rowOff>
    </xdr:from>
    <xdr:to>
      <xdr:col>14</xdr:col>
      <xdr:colOff>9525</xdr:colOff>
      <xdr:row>32</xdr:row>
      <xdr:rowOff>171450</xdr:rowOff>
    </xdr:to>
    <xdr:cxnSp macro="">
      <xdr:nvCxnSpPr>
        <xdr:cNvPr id="64" name="Straight Connector 63"/>
        <xdr:cNvCxnSpPr/>
      </xdr:nvCxnSpPr>
      <xdr:spPr>
        <a:xfrm flipH="1">
          <a:off x="8534400" y="114300"/>
          <a:ext cx="9525" cy="462915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39916</xdr:colOff>
      <xdr:row>6</xdr:row>
      <xdr:rowOff>181429</xdr:rowOff>
    </xdr:from>
    <xdr:to>
      <xdr:col>9</xdr:col>
      <xdr:colOff>22678</xdr:colOff>
      <xdr:row>6</xdr:row>
      <xdr:rowOff>181429</xdr:rowOff>
    </xdr:to>
    <xdr:cxnSp macro="">
      <xdr:nvCxnSpPr>
        <xdr:cNvPr id="67" name="Straight Arrow Connector 66"/>
        <xdr:cNvCxnSpPr/>
      </xdr:nvCxnSpPr>
      <xdr:spPr>
        <a:xfrm flipH="1">
          <a:off x="3101523" y="1338036"/>
          <a:ext cx="2432048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57151</xdr:colOff>
      <xdr:row>7</xdr:row>
      <xdr:rowOff>0</xdr:rowOff>
    </xdr:from>
    <xdr:to>
      <xdr:col>15</xdr:col>
      <xdr:colOff>544286</xdr:colOff>
      <xdr:row>7</xdr:row>
      <xdr:rowOff>3434</xdr:rowOff>
    </xdr:to>
    <xdr:cxnSp macro="">
      <xdr:nvCxnSpPr>
        <xdr:cNvPr id="91" name="Straight Arrow Connector 90"/>
        <xdr:cNvCxnSpPr/>
      </xdr:nvCxnSpPr>
      <xdr:spPr>
        <a:xfrm flipV="1">
          <a:off x="6180365" y="1349375"/>
          <a:ext cx="3548742" cy="343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267283</xdr:colOff>
      <xdr:row>11</xdr:row>
      <xdr:rowOff>184668</xdr:rowOff>
    </xdr:from>
    <xdr:to>
      <xdr:col>14</xdr:col>
      <xdr:colOff>19439</xdr:colOff>
      <xdr:row>11</xdr:row>
      <xdr:rowOff>184668</xdr:rowOff>
    </xdr:to>
    <xdr:cxnSp macro="">
      <xdr:nvCxnSpPr>
        <xdr:cNvPr id="97" name="Straight Arrow Connector 96"/>
        <xdr:cNvCxnSpPr/>
      </xdr:nvCxnSpPr>
      <xdr:spPr>
        <a:xfrm>
          <a:off x="8164286" y="2269477"/>
          <a:ext cx="359617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238125</xdr:colOff>
      <xdr:row>14</xdr:row>
      <xdr:rowOff>22860</xdr:rowOff>
    </xdr:from>
    <xdr:to>
      <xdr:col>11</xdr:col>
      <xdr:colOff>7620</xdr:colOff>
      <xdr:row>14</xdr:row>
      <xdr:rowOff>26670</xdr:rowOff>
    </xdr:to>
    <xdr:cxnSp macro="">
      <xdr:nvCxnSpPr>
        <xdr:cNvPr id="113" name="Straight Arrow Connector 112"/>
        <xdr:cNvCxnSpPr>
          <a:stCxn id="52" idx="3"/>
        </xdr:cNvCxnSpPr>
      </xdr:nvCxnSpPr>
      <xdr:spPr>
        <a:xfrm flipV="1">
          <a:off x="6334125" y="2583180"/>
          <a:ext cx="379095" cy="381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</xdr:colOff>
      <xdr:row>14</xdr:row>
      <xdr:rowOff>22860</xdr:rowOff>
    </xdr:from>
    <xdr:to>
      <xdr:col>8</xdr:col>
      <xdr:colOff>466725</xdr:colOff>
      <xdr:row>14</xdr:row>
      <xdr:rowOff>26670</xdr:rowOff>
    </xdr:to>
    <xdr:cxnSp macro="">
      <xdr:nvCxnSpPr>
        <xdr:cNvPr id="115" name="Straight Arrow Connector 114"/>
        <xdr:cNvCxnSpPr>
          <a:stCxn id="52" idx="1"/>
        </xdr:cNvCxnSpPr>
      </xdr:nvCxnSpPr>
      <xdr:spPr>
        <a:xfrm flipH="1" flipV="1">
          <a:off x="4884420" y="2583180"/>
          <a:ext cx="459105" cy="381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606878</xdr:colOff>
      <xdr:row>1</xdr:row>
      <xdr:rowOff>167842</xdr:rowOff>
    </xdr:from>
    <xdr:to>
      <xdr:col>6</xdr:col>
      <xdr:colOff>4082</xdr:colOff>
      <xdr:row>4</xdr:row>
      <xdr:rowOff>167842</xdr:rowOff>
    </xdr:to>
    <xdr:cxnSp macro="">
      <xdr:nvCxnSpPr>
        <xdr:cNvPr id="41" name="Straight Connector 40"/>
        <xdr:cNvCxnSpPr/>
      </xdr:nvCxnSpPr>
      <xdr:spPr>
        <a:xfrm flipV="1">
          <a:off x="3056164" y="360610"/>
          <a:ext cx="621847" cy="578303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13607</xdr:colOff>
      <xdr:row>1</xdr:row>
      <xdr:rowOff>177366</xdr:rowOff>
    </xdr:from>
    <xdr:to>
      <xdr:col>19</xdr:col>
      <xdr:colOff>23132</xdr:colOff>
      <xdr:row>1</xdr:row>
      <xdr:rowOff>177366</xdr:rowOff>
    </xdr:to>
    <xdr:cxnSp macro="">
      <xdr:nvCxnSpPr>
        <xdr:cNvPr id="42" name="Straight Connector 41"/>
        <xdr:cNvCxnSpPr/>
      </xdr:nvCxnSpPr>
      <xdr:spPr>
        <a:xfrm>
          <a:off x="3687536" y="370134"/>
          <a:ext cx="7969703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261257</xdr:colOff>
      <xdr:row>4</xdr:row>
      <xdr:rowOff>156049</xdr:rowOff>
    </xdr:from>
    <xdr:to>
      <xdr:col>5</xdr:col>
      <xdr:colOff>13607</xdr:colOff>
      <xdr:row>4</xdr:row>
      <xdr:rowOff>156049</xdr:rowOff>
    </xdr:to>
    <xdr:cxnSp macro="">
      <xdr:nvCxnSpPr>
        <xdr:cNvPr id="43" name="Straight Connector 42"/>
        <xdr:cNvCxnSpPr/>
      </xdr:nvCxnSpPr>
      <xdr:spPr>
        <a:xfrm>
          <a:off x="2098221" y="927120"/>
          <a:ext cx="976993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270782</xdr:colOff>
      <xdr:row>1</xdr:row>
      <xdr:rowOff>152400</xdr:rowOff>
    </xdr:from>
    <xdr:to>
      <xdr:col>4</xdr:col>
      <xdr:colOff>566057</xdr:colOff>
      <xdr:row>4</xdr:row>
      <xdr:rowOff>124691</xdr:rowOff>
    </xdr:to>
    <xdr:sp macro="" textlink="">
      <xdr:nvSpPr>
        <xdr:cNvPr id="45" name="TextBox 44"/>
        <xdr:cNvSpPr txBox="1"/>
      </xdr:nvSpPr>
      <xdr:spPr>
        <a:xfrm>
          <a:off x="1489982" y="332509"/>
          <a:ext cx="1514475" cy="5126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 power supply</a:t>
          </a:r>
        </a:p>
        <a:p>
          <a:r>
            <a:rPr lang="en-US" sz="1100"/>
            <a:t>Last</a:t>
          </a:r>
          <a:r>
            <a:rPr lang="en-US" sz="1100" baseline="0"/>
            <a:t> in the sequence</a:t>
          </a:r>
          <a:endParaRPr lang="en-US" sz="1100"/>
        </a:p>
      </xdr:txBody>
    </xdr:sp>
    <xdr:clientData/>
  </xdr:twoCellAnchor>
  <xdr:twoCellAnchor>
    <xdr:from>
      <xdr:col>16</xdr:col>
      <xdr:colOff>0</xdr:colOff>
      <xdr:row>6</xdr:row>
      <xdr:rowOff>34018</xdr:rowOff>
    </xdr:from>
    <xdr:to>
      <xdr:col>16</xdr:col>
      <xdr:colOff>11339</xdr:colOff>
      <xdr:row>8</xdr:row>
      <xdr:rowOff>11339</xdr:rowOff>
    </xdr:to>
    <xdr:cxnSp macro="">
      <xdr:nvCxnSpPr>
        <xdr:cNvPr id="8" name="Straight Connector 7"/>
        <xdr:cNvCxnSpPr/>
      </xdr:nvCxnSpPr>
      <xdr:spPr>
        <a:xfrm>
          <a:off x="9797143" y="1190625"/>
          <a:ext cx="11339" cy="3628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268941</xdr:colOff>
      <xdr:row>5</xdr:row>
      <xdr:rowOff>172810</xdr:rowOff>
    </xdr:from>
    <xdr:to>
      <xdr:col>10</xdr:col>
      <xdr:colOff>528918</xdr:colOff>
      <xdr:row>7</xdr:row>
      <xdr:rowOff>84817</xdr:rowOff>
    </xdr:to>
    <xdr:sp macro="" textlink="">
      <xdr:nvSpPr>
        <xdr:cNvPr id="49" name="TextBox 48"/>
        <xdr:cNvSpPr txBox="1"/>
      </xdr:nvSpPr>
      <xdr:spPr>
        <a:xfrm>
          <a:off x="5145741" y="1069281"/>
          <a:ext cx="1479177" cy="2705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tpor_min (datasheet)</a:t>
          </a:r>
        </a:p>
      </xdr:txBody>
    </xdr:sp>
    <xdr:clientData/>
  </xdr:twoCellAnchor>
  <xdr:twoCellAnchor>
    <xdr:from>
      <xdr:col>5</xdr:col>
      <xdr:colOff>577841</xdr:colOff>
      <xdr:row>3</xdr:row>
      <xdr:rowOff>16351</xdr:rowOff>
    </xdr:from>
    <xdr:to>
      <xdr:col>9</xdr:col>
      <xdr:colOff>560603</xdr:colOff>
      <xdr:row>3</xdr:row>
      <xdr:rowOff>16351</xdr:rowOff>
    </xdr:to>
    <xdr:cxnSp macro="">
      <xdr:nvCxnSpPr>
        <xdr:cNvPr id="55" name="Straight Arrow Connector 54"/>
        <xdr:cNvCxnSpPr/>
      </xdr:nvCxnSpPr>
      <xdr:spPr>
        <a:xfrm flipH="1">
          <a:off x="3639448" y="594655"/>
          <a:ext cx="2432048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16772</xdr:colOff>
      <xdr:row>3</xdr:row>
      <xdr:rowOff>8447</xdr:rowOff>
    </xdr:from>
    <xdr:to>
      <xdr:col>16</xdr:col>
      <xdr:colOff>0</xdr:colOff>
      <xdr:row>3</xdr:row>
      <xdr:rowOff>13855</xdr:rowOff>
    </xdr:to>
    <xdr:cxnSp macro="">
      <xdr:nvCxnSpPr>
        <xdr:cNvPr id="56" name="Straight Arrow Connector 55"/>
        <xdr:cNvCxnSpPr/>
      </xdr:nvCxnSpPr>
      <xdr:spPr>
        <a:xfrm>
          <a:off x="6722372" y="548774"/>
          <a:ext cx="3031228" cy="540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17679</xdr:colOff>
      <xdr:row>2</xdr:row>
      <xdr:rowOff>87105</xdr:rowOff>
    </xdr:from>
    <xdr:to>
      <xdr:col>12</xdr:col>
      <xdr:colOff>358588</xdr:colOff>
      <xdr:row>4</xdr:row>
      <xdr:rowOff>4966</xdr:rowOff>
    </xdr:to>
    <xdr:sp macro="" textlink="">
      <xdr:nvSpPr>
        <xdr:cNvPr id="57" name="TextBox 56"/>
        <xdr:cNvSpPr txBox="1"/>
      </xdr:nvSpPr>
      <xdr:spPr>
        <a:xfrm>
          <a:off x="6113679" y="445693"/>
          <a:ext cx="1560109" cy="2764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tpor_max (datasheet)</a:t>
          </a:r>
        </a:p>
      </xdr:txBody>
    </xdr:sp>
    <xdr:clientData/>
  </xdr:twoCellAnchor>
  <xdr:twoCellAnchor>
    <xdr:from>
      <xdr:col>13</xdr:col>
      <xdr:colOff>2249</xdr:colOff>
      <xdr:row>28</xdr:row>
      <xdr:rowOff>169598</xdr:rowOff>
    </xdr:from>
    <xdr:to>
      <xdr:col>14</xdr:col>
      <xdr:colOff>385971</xdr:colOff>
      <xdr:row>32</xdr:row>
      <xdr:rowOff>125506</xdr:rowOff>
    </xdr:to>
    <xdr:sp macro="" textlink="">
      <xdr:nvSpPr>
        <xdr:cNvPr id="60" name="TextBox 59"/>
        <xdr:cNvSpPr txBox="1"/>
      </xdr:nvSpPr>
      <xdr:spPr>
        <a:xfrm>
          <a:off x="7927049" y="3755480"/>
          <a:ext cx="993322" cy="6730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2.3 ms</a:t>
          </a:r>
          <a:r>
            <a:rPr lang="en-US" sz="1100" baseline="0"/>
            <a:t> +/- 50% variation</a:t>
          </a:r>
          <a:br>
            <a:rPr lang="en-US" sz="1100" baseline="0"/>
          </a:br>
          <a:r>
            <a:rPr lang="en-US" sz="1100" baseline="0"/>
            <a:t>CFG sim</a:t>
          </a:r>
          <a:endParaRPr lang="en-US" sz="1100"/>
        </a:p>
      </xdr:txBody>
    </xdr:sp>
    <xdr:clientData/>
  </xdr:twoCellAnchor>
  <xdr:twoCellAnchor>
    <xdr:from>
      <xdr:col>10</xdr:col>
      <xdr:colOff>600983</xdr:colOff>
      <xdr:row>30</xdr:row>
      <xdr:rowOff>158749</xdr:rowOff>
    </xdr:from>
    <xdr:to>
      <xdr:col>12</xdr:col>
      <xdr:colOff>578304</xdr:colOff>
      <xdr:row>30</xdr:row>
      <xdr:rowOff>170088</xdr:rowOff>
    </xdr:to>
    <xdr:cxnSp macro="">
      <xdr:nvCxnSpPr>
        <xdr:cNvPr id="61" name="Straight Arrow Connector 60"/>
        <xdr:cNvCxnSpPr/>
      </xdr:nvCxnSpPr>
      <xdr:spPr>
        <a:xfrm flipH="1">
          <a:off x="6724197" y="4399642"/>
          <a:ext cx="1201964" cy="1133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385536</xdr:colOff>
      <xdr:row>30</xdr:row>
      <xdr:rowOff>158751</xdr:rowOff>
    </xdr:from>
    <xdr:to>
      <xdr:col>15</xdr:col>
      <xdr:colOff>600983</xdr:colOff>
      <xdr:row>30</xdr:row>
      <xdr:rowOff>158751</xdr:rowOff>
    </xdr:to>
    <xdr:cxnSp macro="">
      <xdr:nvCxnSpPr>
        <xdr:cNvPr id="65" name="Straight Arrow Connector 64"/>
        <xdr:cNvCxnSpPr/>
      </xdr:nvCxnSpPr>
      <xdr:spPr>
        <a:xfrm>
          <a:off x="8958036" y="4399644"/>
          <a:ext cx="827768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608208</xdr:colOff>
      <xdr:row>0</xdr:row>
      <xdr:rowOff>114300</xdr:rowOff>
    </xdr:from>
    <xdr:to>
      <xdr:col>16</xdr:col>
      <xdr:colOff>5411</xdr:colOff>
      <xdr:row>32</xdr:row>
      <xdr:rowOff>171450</xdr:rowOff>
    </xdr:to>
    <xdr:cxnSp macro="">
      <xdr:nvCxnSpPr>
        <xdr:cNvPr id="74" name="Straight Connector 73"/>
        <xdr:cNvCxnSpPr/>
      </xdr:nvCxnSpPr>
      <xdr:spPr>
        <a:xfrm flipH="1">
          <a:off x="9793029" y="114300"/>
          <a:ext cx="9525" cy="4683579"/>
        </a:xfrm>
        <a:prstGeom prst="line">
          <a:avLst/>
        </a:prstGeom>
        <a:ln w="19050">
          <a:solidFill>
            <a:srgbClr val="00B0F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459105</xdr:colOff>
      <xdr:row>29</xdr:row>
      <xdr:rowOff>0</xdr:rowOff>
    </xdr:from>
    <xdr:to>
      <xdr:col>10</xdr:col>
      <xdr:colOff>230505</xdr:colOff>
      <xdr:row>30</xdr:row>
      <xdr:rowOff>35858</xdr:rowOff>
    </xdr:to>
    <xdr:sp macro="" textlink="">
      <xdr:nvSpPr>
        <xdr:cNvPr id="68" name="TextBox 67"/>
        <xdr:cNvSpPr txBox="1"/>
      </xdr:nvSpPr>
      <xdr:spPr>
        <a:xfrm>
          <a:off x="5335905" y="3765176"/>
          <a:ext cx="990600" cy="2151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Tx</a:t>
          </a:r>
        </a:p>
      </xdr:txBody>
    </xdr:sp>
    <xdr:clientData/>
  </xdr:twoCellAnchor>
  <xdr:twoCellAnchor>
    <xdr:from>
      <xdr:col>10</xdr:col>
      <xdr:colOff>230505</xdr:colOff>
      <xdr:row>29</xdr:row>
      <xdr:rowOff>100399</xdr:rowOff>
    </xdr:from>
    <xdr:to>
      <xdr:col>11</xdr:col>
      <xdr:colOff>0</xdr:colOff>
      <xdr:row>29</xdr:row>
      <xdr:rowOff>107577</xdr:rowOff>
    </xdr:to>
    <xdr:cxnSp macro="">
      <xdr:nvCxnSpPr>
        <xdr:cNvPr id="69" name="Straight Arrow Connector 68"/>
        <xdr:cNvCxnSpPr>
          <a:stCxn id="68" idx="3"/>
        </xdr:cNvCxnSpPr>
      </xdr:nvCxnSpPr>
      <xdr:spPr>
        <a:xfrm flipV="1">
          <a:off x="6326505" y="3865575"/>
          <a:ext cx="379095" cy="717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29</xdr:row>
      <xdr:rowOff>100399</xdr:rowOff>
    </xdr:from>
    <xdr:to>
      <xdr:col>8</xdr:col>
      <xdr:colOff>459105</xdr:colOff>
      <xdr:row>29</xdr:row>
      <xdr:rowOff>107577</xdr:rowOff>
    </xdr:to>
    <xdr:cxnSp macro="">
      <xdr:nvCxnSpPr>
        <xdr:cNvPr id="70" name="Straight Arrow Connector 69"/>
        <xdr:cNvCxnSpPr>
          <a:stCxn id="68" idx="1"/>
        </xdr:cNvCxnSpPr>
      </xdr:nvCxnSpPr>
      <xdr:spPr>
        <a:xfrm flipH="1" flipV="1">
          <a:off x="4876801" y="3865575"/>
          <a:ext cx="459104" cy="717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403413</xdr:colOff>
      <xdr:row>15</xdr:row>
      <xdr:rowOff>36676</xdr:rowOff>
    </xdr:from>
    <xdr:to>
      <xdr:col>16</xdr:col>
      <xdr:colOff>166255</xdr:colOff>
      <xdr:row>16</xdr:row>
      <xdr:rowOff>110837</xdr:rowOff>
    </xdr:to>
    <xdr:sp macro="" textlink="">
      <xdr:nvSpPr>
        <xdr:cNvPr id="72" name="TextBox 71"/>
        <xdr:cNvSpPr txBox="1"/>
      </xdr:nvSpPr>
      <xdr:spPr>
        <a:xfrm>
          <a:off x="8937813" y="2738312"/>
          <a:ext cx="982042" cy="2542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Treset2init</a:t>
          </a:r>
        </a:p>
      </xdr:txBody>
    </xdr:sp>
    <xdr:clientData/>
  </xdr:twoCellAnchor>
  <xdr:twoCellAnchor>
    <xdr:from>
      <xdr:col>14</xdr:col>
      <xdr:colOff>7334</xdr:colOff>
      <xdr:row>14</xdr:row>
      <xdr:rowOff>166255</xdr:rowOff>
    </xdr:from>
    <xdr:to>
      <xdr:col>16</xdr:col>
      <xdr:colOff>13855</xdr:colOff>
      <xdr:row>14</xdr:row>
      <xdr:rowOff>169517</xdr:rowOff>
    </xdr:to>
    <xdr:cxnSp macro="">
      <xdr:nvCxnSpPr>
        <xdr:cNvPr id="73" name="Straight Arrow Connector 72"/>
        <xdr:cNvCxnSpPr/>
      </xdr:nvCxnSpPr>
      <xdr:spPr>
        <a:xfrm flipV="1">
          <a:off x="8541734" y="2687782"/>
          <a:ext cx="1225721" cy="3262"/>
        </a:xfrm>
        <a:prstGeom prst="straightConnector1">
          <a:avLst/>
        </a:prstGeom>
        <a:ln>
          <a:headEnd type="arrow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484909</xdr:colOff>
      <xdr:row>24</xdr:row>
      <xdr:rowOff>0</xdr:rowOff>
    </xdr:from>
    <xdr:to>
      <xdr:col>8</xdr:col>
      <xdr:colOff>13855</xdr:colOff>
      <xdr:row>24</xdr:row>
      <xdr:rowOff>0</xdr:rowOff>
    </xdr:to>
    <xdr:cxnSp macro="">
      <xdr:nvCxnSpPr>
        <xdr:cNvPr id="81" name="Straight Connector 80"/>
        <xdr:cNvCxnSpPr/>
      </xdr:nvCxnSpPr>
      <xdr:spPr>
        <a:xfrm>
          <a:off x="2313709" y="4322618"/>
          <a:ext cx="2576946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22</xdr:row>
      <xdr:rowOff>0</xdr:rowOff>
    </xdr:from>
    <xdr:to>
      <xdr:col>18</xdr:col>
      <xdr:colOff>595745</xdr:colOff>
      <xdr:row>22</xdr:row>
      <xdr:rowOff>1</xdr:rowOff>
    </xdr:to>
    <xdr:cxnSp macro="">
      <xdr:nvCxnSpPr>
        <xdr:cNvPr id="86" name="Straight Connector 85"/>
        <xdr:cNvCxnSpPr/>
      </xdr:nvCxnSpPr>
      <xdr:spPr>
        <a:xfrm>
          <a:off x="4876800" y="3962400"/>
          <a:ext cx="6691745" cy="1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6</xdr:row>
      <xdr:rowOff>9525</xdr:rowOff>
    </xdr:from>
    <xdr:to>
      <xdr:col>19</xdr:col>
      <xdr:colOff>28575</xdr:colOff>
      <xdr:row>6</xdr:row>
      <xdr:rowOff>11339</xdr:rowOff>
    </xdr:to>
    <xdr:cxnSp macro="">
      <xdr:nvCxnSpPr>
        <xdr:cNvPr id="2" name="Straight Connector 1"/>
        <xdr:cNvCxnSpPr/>
      </xdr:nvCxnSpPr>
      <xdr:spPr>
        <a:xfrm flipV="1">
          <a:off x="9753600" y="1106805"/>
          <a:ext cx="1857375" cy="18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572860</xdr:colOff>
      <xdr:row>7</xdr:row>
      <xdr:rowOff>192315</xdr:rowOff>
    </xdr:from>
    <xdr:to>
      <xdr:col>16</xdr:col>
      <xdr:colOff>11339</xdr:colOff>
      <xdr:row>8</xdr:row>
      <xdr:rowOff>11339</xdr:rowOff>
    </xdr:to>
    <xdr:cxnSp macro="">
      <xdr:nvCxnSpPr>
        <xdr:cNvPr id="3" name="Straight Connector 2"/>
        <xdr:cNvCxnSpPr/>
      </xdr:nvCxnSpPr>
      <xdr:spPr>
        <a:xfrm>
          <a:off x="3011260" y="1464855"/>
          <a:ext cx="6753679" cy="952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12</xdr:row>
      <xdr:rowOff>0</xdr:rowOff>
    </xdr:from>
    <xdr:to>
      <xdr:col>11</xdr:col>
      <xdr:colOff>9525</xdr:colOff>
      <xdr:row>12</xdr:row>
      <xdr:rowOff>0</xdr:rowOff>
    </xdr:to>
    <xdr:cxnSp macro="">
      <xdr:nvCxnSpPr>
        <xdr:cNvPr id="4" name="Straight Connector 3"/>
        <xdr:cNvCxnSpPr/>
      </xdr:nvCxnSpPr>
      <xdr:spPr>
        <a:xfrm>
          <a:off x="2171700" y="2194560"/>
          <a:ext cx="45434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</xdr:row>
      <xdr:rowOff>171450</xdr:rowOff>
    </xdr:from>
    <xdr:to>
      <xdr:col>19</xdr:col>
      <xdr:colOff>0</xdr:colOff>
      <xdr:row>9</xdr:row>
      <xdr:rowOff>171450</xdr:rowOff>
    </xdr:to>
    <xdr:cxnSp macro="">
      <xdr:nvCxnSpPr>
        <xdr:cNvPr id="5" name="Straight Connector 4"/>
        <xdr:cNvCxnSpPr/>
      </xdr:nvCxnSpPr>
      <xdr:spPr>
        <a:xfrm>
          <a:off x="6715125" y="1817370"/>
          <a:ext cx="48672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</xdr:row>
      <xdr:rowOff>180975</xdr:rowOff>
    </xdr:from>
    <xdr:to>
      <xdr:col>11</xdr:col>
      <xdr:colOff>9525</xdr:colOff>
      <xdr:row>12</xdr:row>
      <xdr:rowOff>9525</xdr:rowOff>
    </xdr:to>
    <xdr:cxnSp macro="">
      <xdr:nvCxnSpPr>
        <xdr:cNvPr id="6" name="Straight Connector 5"/>
        <xdr:cNvCxnSpPr/>
      </xdr:nvCxnSpPr>
      <xdr:spPr>
        <a:xfrm>
          <a:off x="6715125" y="1826895"/>
          <a:ext cx="0" cy="37719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390525</xdr:colOff>
      <xdr:row>16</xdr:row>
      <xdr:rowOff>9525</xdr:rowOff>
    </xdr:from>
    <xdr:to>
      <xdr:col>14</xdr:col>
      <xdr:colOff>9525</xdr:colOff>
      <xdr:row>16</xdr:row>
      <xdr:rowOff>9525</xdr:rowOff>
    </xdr:to>
    <xdr:cxnSp macro="">
      <xdr:nvCxnSpPr>
        <xdr:cNvPr id="7" name="Straight Connector 6"/>
        <xdr:cNvCxnSpPr/>
      </xdr:nvCxnSpPr>
      <xdr:spPr>
        <a:xfrm>
          <a:off x="2219325" y="2935605"/>
          <a:ext cx="63246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600075</xdr:colOff>
      <xdr:row>13</xdr:row>
      <xdr:rowOff>180975</xdr:rowOff>
    </xdr:from>
    <xdr:to>
      <xdr:col>18</xdr:col>
      <xdr:colOff>571500</xdr:colOff>
      <xdr:row>13</xdr:row>
      <xdr:rowOff>180975</xdr:rowOff>
    </xdr:to>
    <xdr:cxnSp macro="">
      <xdr:nvCxnSpPr>
        <xdr:cNvPr id="8" name="Straight Connector 7"/>
        <xdr:cNvCxnSpPr/>
      </xdr:nvCxnSpPr>
      <xdr:spPr>
        <a:xfrm>
          <a:off x="8524875" y="2558415"/>
          <a:ext cx="30194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600075</xdr:colOff>
      <xdr:row>14</xdr:row>
      <xdr:rowOff>0</xdr:rowOff>
    </xdr:from>
    <xdr:to>
      <xdr:col>14</xdr:col>
      <xdr:colOff>0</xdr:colOff>
      <xdr:row>16</xdr:row>
      <xdr:rowOff>9525</xdr:rowOff>
    </xdr:to>
    <xdr:cxnSp macro="">
      <xdr:nvCxnSpPr>
        <xdr:cNvPr id="9" name="Straight Connector 8"/>
        <xdr:cNvCxnSpPr/>
      </xdr:nvCxnSpPr>
      <xdr:spPr>
        <a:xfrm>
          <a:off x="8524875" y="2560320"/>
          <a:ext cx="9525" cy="3752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18</xdr:row>
      <xdr:rowOff>9525</xdr:rowOff>
    </xdr:from>
    <xdr:to>
      <xdr:col>18</xdr:col>
      <xdr:colOff>590550</xdr:colOff>
      <xdr:row>20</xdr:row>
      <xdr:rowOff>0</xdr:rowOff>
    </xdr:to>
    <xdr:grpSp>
      <xdr:nvGrpSpPr>
        <xdr:cNvPr id="10" name="Group 9"/>
        <xdr:cNvGrpSpPr/>
      </xdr:nvGrpSpPr>
      <xdr:grpSpPr>
        <a:xfrm>
          <a:off x="2295525" y="3236819"/>
          <a:ext cx="9267825" cy="349063"/>
          <a:chOff x="2295525" y="3438525"/>
          <a:chExt cx="9267825" cy="371475"/>
        </a:xfrm>
      </xdr:grpSpPr>
      <xdr:cxnSp macro="">
        <xdr:nvCxnSpPr>
          <xdr:cNvPr id="11" name="Straight Connector 10"/>
          <xdr:cNvCxnSpPr/>
        </xdr:nvCxnSpPr>
        <xdr:spPr>
          <a:xfrm>
            <a:off x="2295525" y="3800475"/>
            <a:ext cx="2571750" cy="0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/>
          <xdr:cNvCxnSpPr/>
        </xdr:nvCxnSpPr>
        <xdr:spPr>
          <a:xfrm>
            <a:off x="4886325" y="3438525"/>
            <a:ext cx="6677025" cy="0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/>
          <xdr:cNvCxnSpPr/>
        </xdr:nvCxnSpPr>
        <xdr:spPr>
          <a:xfrm>
            <a:off x="4867275" y="3438525"/>
            <a:ext cx="0" cy="371475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600982</xdr:colOff>
      <xdr:row>17</xdr:row>
      <xdr:rowOff>180612</xdr:rowOff>
    </xdr:from>
    <xdr:to>
      <xdr:col>16</xdr:col>
      <xdr:colOff>272141</xdr:colOff>
      <xdr:row>20</xdr:row>
      <xdr:rowOff>14515</xdr:rowOff>
    </xdr:to>
    <xdr:grpSp>
      <xdr:nvGrpSpPr>
        <xdr:cNvPr id="14" name="Group 13"/>
        <xdr:cNvGrpSpPr/>
      </xdr:nvGrpSpPr>
      <xdr:grpSpPr>
        <a:xfrm>
          <a:off x="4868182" y="3228612"/>
          <a:ext cx="5157559" cy="371785"/>
          <a:chOff x="3899981" y="3438525"/>
          <a:chExt cx="5157819" cy="400050"/>
        </a:xfrm>
      </xdr:grpSpPr>
      <xdr:cxnSp macro="">
        <xdr:nvCxnSpPr>
          <xdr:cNvPr id="15" name="Straight Connector 14"/>
          <xdr:cNvCxnSpPr/>
        </xdr:nvCxnSpPr>
        <xdr:spPr>
          <a:xfrm flipV="1">
            <a:off x="3899981" y="3801799"/>
            <a:ext cx="4491932" cy="11212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Straight Connector 15"/>
          <xdr:cNvCxnSpPr/>
        </xdr:nvCxnSpPr>
        <xdr:spPr>
          <a:xfrm>
            <a:off x="8515350" y="3438525"/>
            <a:ext cx="542450" cy="4485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/>
          <xdr:cNvCxnSpPr/>
        </xdr:nvCxnSpPr>
        <xdr:spPr>
          <a:xfrm>
            <a:off x="8391204" y="3467100"/>
            <a:ext cx="0" cy="371475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276225</xdr:colOff>
      <xdr:row>6</xdr:row>
      <xdr:rowOff>57150</xdr:rowOff>
    </xdr:from>
    <xdr:to>
      <xdr:col>4</xdr:col>
      <xdr:colOff>571500</xdr:colOff>
      <xdr:row>8</xdr:row>
      <xdr:rowOff>114300</xdr:rowOff>
    </xdr:to>
    <xdr:sp macro="" textlink="">
      <xdr:nvSpPr>
        <xdr:cNvPr id="18" name="TextBox 17"/>
        <xdr:cNvSpPr txBox="1"/>
      </xdr:nvSpPr>
      <xdr:spPr>
        <a:xfrm>
          <a:off x="1495425" y="1154430"/>
          <a:ext cx="1514475" cy="422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init_b</a:t>
          </a:r>
        </a:p>
      </xdr:txBody>
    </xdr:sp>
    <xdr:clientData/>
  </xdr:twoCellAnchor>
  <xdr:twoCellAnchor>
    <xdr:from>
      <xdr:col>2</xdr:col>
      <xdr:colOff>266700</xdr:colOff>
      <xdr:row>9</xdr:row>
      <xdr:rowOff>85725</xdr:rowOff>
    </xdr:from>
    <xdr:to>
      <xdr:col>4</xdr:col>
      <xdr:colOff>561975</xdr:colOff>
      <xdr:row>11</xdr:row>
      <xdr:rowOff>142875</xdr:rowOff>
    </xdr:to>
    <xdr:sp macro="" textlink="">
      <xdr:nvSpPr>
        <xdr:cNvPr id="19" name="TextBox 18"/>
        <xdr:cNvSpPr txBox="1"/>
      </xdr:nvSpPr>
      <xdr:spPr>
        <a:xfrm>
          <a:off x="1485900" y="1731645"/>
          <a:ext cx="1514475" cy="422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pcfg_por_b</a:t>
          </a:r>
        </a:p>
      </xdr:txBody>
    </xdr:sp>
    <xdr:clientData/>
  </xdr:twoCellAnchor>
  <xdr:twoCellAnchor>
    <xdr:from>
      <xdr:col>2</xdr:col>
      <xdr:colOff>276225</xdr:colOff>
      <xdr:row>13</xdr:row>
      <xdr:rowOff>85725</xdr:rowOff>
    </xdr:from>
    <xdr:to>
      <xdr:col>4</xdr:col>
      <xdr:colOff>571500</xdr:colOff>
      <xdr:row>15</xdr:row>
      <xdr:rowOff>142875</xdr:rowOff>
    </xdr:to>
    <xdr:sp macro="" textlink="">
      <xdr:nvSpPr>
        <xdr:cNvPr id="20" name="TextBox 19"/>
        <xdr:cNvSpPr txBox="1"/>
      </xdr:nvSpPr>
      <xdr:spPr>
        <a:xfrm>
          <a:off x="1495425" y="2463165"/>
          <a:ext cx="1514475" cy="422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pcfg_reset_b</a:t>
          </a:r>
        </a:p>
      </xdr:txBody>
    </xdr:sp>
    <xdr:clientData/>
  </xdr:twoCellAnchor>
  <xdr:twoCellAnchor>
    <xdr:from>
      <xdr:col>2</xdr:col>
      <xdr:colOff>252188</xdr:colOff>
      <xdr:row>17</xdr:row>
      <xdr:rowOff>104775</xdr:rowOff>
    </xdr:from>
    <xdr:to>
      <xdr:col>5</xdr:col>
      <xdr:colOff>419554</xdr:colOff>
      <xdr:row>19</xdr:row>
      <xdr:rowOff>161925</xdr:rowOff>
    </xdr:to>
    <xdr:sp macro="" textlink="">
      <xdr:nvSpPr>
        <xdr:cNvPr id="21" name="TextBox 20"/>
        <xdr:cNvSpPr txBox="1"/>
      </xdr:nvSpPr>
      <xdr:spPr>
        <a:xfrm>
          <a:off x="1471388" y="3213735"/>
          <a:ext cx="1996166" cy="422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ps_por_b,early, late,safe</a:t>
          </a:r>
        </a:p>
      </xdr:txBody>
    </xdr:sp>
    <xdr:clientData/>
  </xdr:twoCellAnchor>
  <xdr:twoCellAnchor>
    <xdr:from>
      <xdr:col>7</xdr:col>
      <xdr:colOff>571501</xdr:colOff>
      <xdr:row>25</xdr:row>
      <xdr:rowOff>9525</xdr:rowOff>
    </xdr:from>
    <xdr:to>
      <xdr:col>13</xdr:col>
      <xdr:colOff>581025</xdr:colOff>
      <xdr:row>27</xdr:row>
      <xdr:rowOff>104775</xdr:rowOff>
    </xdr:to>
    <xdr:grpSp>
      <xdr:nvGrpSpPr>
        <xdr:cNvPr id="22" name="Group 21"/>
        <xdr:cNvGrpSpPr/>
      </xdr:nvGrpSpPr>
      <xdr:grpSpPr>
        <a:xfrm>
          <a:off x="4838701" y="4491878"/>
          <a:ext cx="3667124" cy="453838"/>
          <a:chOff x="4838701" y="4772025"/>
          <a:chExt cx="3667124" cy="476250"/>
        </a:xfrm>
      </xdr:grpSpPr>
      <xdr:cxnSp macro="">
        <xdr:nvCxnSpPr>
          <xdr:cNvPr id="23" name="Straight Arrow Connector 22"/>
          <xdr:cNvCxnSpPr/>
        </xdr:nvCxnSpPr>
        <xdr:spPr>
          <a:xfrm flipH="1" flipV="1">
            <a:off x="4838701" y="4978161"/>
            <a:ext cx="828674" cy="9525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Straight Arrow Connector 23"/>
          <xdr:cNvCxnSpPr/>
        </xdr:nvCxnSpPr>
        <xdr:spPr>
          <a:xfrm>
            <a:off x="7324725" y="4981575"/>
            <a:ext cx="1181100" cy="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TextBox 24"/>
          <xdr:cNvSpPr txBox="1"/>
        </xdr:nvSpPr>
        <xdr:spPr>
          <a:xfrm>
            <a:off x="5610225" y="4772025"/>
            <a:ext cx="1685925" cy="4762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Possibility</a:t>
            </a:r>
            <a:r>
              <a:rPr lang="en-US" sz="1100" baseline="0"/>
              <a:t> of lockdown window, 10.1 or 11.1</a:t>
            </a:r>
            <a:endParaRPr lang="en-US" sz="1100"/>
          </a:p>
        </xdr:txBody>
      </xdr:sp>
    </xdr:grpSp>
    <xdr:clientData/>
  </xdr:twoCellAnchor>
  <xdr:twoCellAnchor>
    <xdr:from>
      <xdr:col>8</xdr:col>
      <xdr:colOff>466725</xdr:colOff>
      <xdr:row>12</xdr:row>
      <xdr:rowOff>119063</xdr:rowOff>
    </xdr:from>
    <xdr:to>
      <xdr:col>10</xdr:col>
      <xdr:colOff>238125</xdr:colOff>
      <xdr:row>15</xdr:row>
      <xdr:rowOff>152398</xdr:rowOff>
    </xdr:to>
    <xdr:sp macro="" textlink="">
      <xdr:nvSpPr>
        <xdr:cNvPr id="26" name="TextBox 25"/>
        <xdr:cNvSpPr txBox="1"/>
      </xdr:nvSpPr>
      <xdr:spPr>
        <a:xfrm>
          <a:off x="5343525" y="2313623"/>
          <a:ext cx="990600" cy="58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1.3 ms</a:t>
          </a:r>
          <a:r>
            <a:rPr lang="en-US" sz="1100" baseline="0"/>
            <a:t> + 10% guardband</a:t>
          </a:r>
        </a:p>
        <a:p>
          <a:r>
            <a:rPr lang="en-US" sz="1100" baseline="0"/>
            <a:t>RTL sim</a:t>
          </a:r>
          <a:endParaRPr lang="en-US" sz="1100"/>
        </a:p>
      </xdr:txBody>
    </xdr:sp>
    <xdr:clientData/>
  </xdr:twoCellAnchor>
  <xdr:twoCellAnchor>
    <xdr:from>
      <xdr:col>11</xdr:col>
      <xdr:colOff>485775</xdr:colOff>
      <xdr:row>10</xdr:row>
      <xdr:rowOff>180974</xdr:rowOff>
    </xdr:from>
    <xdr:to>
      <xdr:col>13</xdr:col>
      <xdr:colOff>257175</xdr:colOff>
      <xdr:row>14</xdr:row>
      <xdr:rowOff>57149</xdr:rowOff>
    </xdr:to>
    <xdr:sp macro="" textlink="">
      <xdr:nvSpPr>
        <xdr:cNvPr id="27" name="TextBox 26"/>
        <xdr:cNvSpPr txBox="1"/>
      </xdr:nvSpPr>
      <xdr:spPr>
        <a:xfrm>
          <a:off x="7191375" y="2009774"/>
          <a:ext cx="990600" cy="6076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1.3 ms</a:t>
          </a:r>
          <a:r>
            <a:rPr lang="en-US" sz="1100" baseline="0"/>
            <a:t> + 50% variation</a:t>
          </a:r>
          <a:br>
            <a:rPr lang="en-US" sz="1100" baseline="0"/>
          </a:br>
          <a:r>
            <a:rPr lang="en-US" sz="1100" baseline="0"/>
            <a:t>CFG sim</a:t>
          </a:r>
          <a:endParaRPr lang="en-US" sz="1100"/>
        </a:p>
      </xdr:txBody>
    </xdr:sp>
    <xdr:clientData/>
  </xdr:twoCellAnchor>
  <xdr:twoCellAnchor>
    <xdr:from>
      <xdr:col>11</xdr:col>
      <xdr:colOff>9525</xdr:colOff>
      <xdr:row>12</xdr:row>
      <xdr:rowOff>9525</xdr:rowOff>
    </xdr:from>
    <xdr:to>
      <xdr:col>11</xdr:col>
      <xdr:colOff>495300</xdr:colOff>
      <xdr:row>12</xdr:row>
      <xdr:rowOff>9525</xdr:rowOff>
    </xdr:to>
    <xdr:cxnSp macro="">
      <xdr:nvCxnSpPr>
        <xdr:cNvPr id="28" name="Straight Arrow Connector 27"/>
        <xdr:cNvCxnSpPr/>
      </xdr:nvCxnSpPr>
      <xdr:spPr>
        <a:xfrm flipH="1">
          <a:off x="6715125" y="2204085"/>
          <a:ext cx="4857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0</xdr:row>
      <xdr:rowOff>161925</xdr:rowOff>
    </xdr:from>
    <xdr:to>
      <xdr:col>8</xdr:col>
      <xdr:colOff>0</xdr:colOff>
      <xdr:row>25</xdr:row>
      <xdr:rowOff>28575</xdr:rowOff>
    </xdr:to>
    <xdr:cxnSp macro="">
      <xdr:nvCxnSpPr>
        <xdr:cNvPr id="29" name="Straight Connector 28"/>
        <xdr:cNvCxnSpPr/>
      </xdr:nvCxnSpPr>
      <xdr:spPr>
        <a:xfrm flipH="1">
          <a:off x="4867275" y="161925"/>
          <a:ext cx="9525" cy="443865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133350</xdr:rowOff>
    </xdr:from>
    <xdr:to>
      <xdr:col>11</xdr:col>
      <xdr:colOff>9525</xdr:colOff>
      <xdr:row>25</xdr:row>
      <xdr:rowOff>0</xdr:rowOff>
    </xdr:to>
    <xdr:cxnSp macro="">
      <xdr:nvCxnSpPr>
        <xdr:cNvPr id="30" name="Straight Connector 29"/>
        <xdr:cNvCxnSpPr/>
      </xdr:nvCxnSpPr>
      <xdr:spPr>
        <a:xfrm flipH="1">
          <a:off x="6705600" y="133350"/>
          <a:ext cx="9525" cy="443865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0</xdr:row>
      <xdr:rowOff>114300</xdr:rowOff>
    </xdr:from>
    <xdr:to>
      <xdr:col>14</xdr:col>
      <xdr:colOff>9525</xdr:colOff>
      <xdr:row>24</xdr:row>
      <xdr:rowOff>171450</xdr:rowOff>
    </xdr:to>
    <xdr:cxnSp macro="">
      <xdr:nvCxnSpPr>
        <xdr:cNvPr id="31" name="Straight Connector 30"/>
        <xdr:cNvCxnSpPr/>
      </xdr:nvCxnSpPr>
      <xdr:spPr>
        <a:xfrm flipH="1">
          <a:off x="8534400" y="114300"/>
          <a:ext cx="9525" cy="444627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39916</xdr:colOff>
      <xdr:row>6</xdr:row>
      <xdr:rowOff>181429</xdr:rowOff>
    </xdr:from>
    <xdr:to>
      <xdr:col>9</xdr:col>
      <xdr:colOff>22678</xdr:colOff>
      <xdr:row>6</xdr:row>
      <xdr:rowOff>181429</xdr:rowOff>
    </xdr:to>
    <xdr:cxnSp macro="">
      <xdr:nvCxnSpPr>
        <xdr:cNvPr id="32" name="Straight Arrow Connector 31"/>
        <xdr:cNvCxnSpPr/>
      </xdr:nvCxnSpPr>
      <xdr:spPr>
        <a:xfrm flipH="1">
          <a:off x="3087916" y="1278709"/>
          <a:ext cx="2421162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57151</xdr:colOff>
      <xdr:row>7</xdr:row>
      <xdr:rowOff>0</xdr:rowOff>
    </xdr:from>
    <xdr:to>
      <xdr:col>15</xdr:col>
      <xdr:colOff>544286</xdr:colOff>
      <xdr:row>7</xdr:row>
      <xdr:rowOff>3434</xdr:rowOff>
    </xdr:to>
    <xdr:cxnSp macro="">
      <xdr:nvCxnSpPr>
        <xdr:cNvPr id="33" name="Straight Arrow Connector 32"/>
        <xdr:cNvCxnSpPr/>
      </xdr:nvCxnSpPr>
      <xdr:spPr>
        <a:xfrm flipV="1">
          <a:off x="6153151" y="1280160"/>
          <a:ext cx="3535135" cy="343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267283</xdr:colOff>
      <xdr:row>11</xdr:row>
      <xdr:rowOff>184668</xdr:rowOff>
    </xdr:from>
    <xdr:to>
      <xdr:col>14</xdr:col>
      <xdr:colOff>19439</xdr:colOff>
      <xdr:row>11</xdr:row>
      <xdr:rowOff>184668</xdr:rowOff>
    </xdr:to>
    <xdr:cxnSp macro="">
      <xdr:nvCxnSpPr>
        <xdr:cNvPr id="34" name="Straight Arrow Connector 33"/>
        <xdr:cNvCxnSpPr/>
      </xdr:nvCxnSpPr>
      <xdr:spPr>
        <a:xfrm>
          <a:off x="8192083" y="2196348"/>
          <a:ext cx="361756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238125</xdr:colOff>
      <xdr:row>14</xdr:row>
      <xdr:rowOff>41181</xdr:rowOff>
    </xdr:from>
    <xdr:to>
      <xdr:col>11</xdr:col>
      <xdr:colOff>14008</xdr:colOff>
      <xdr:row>14</xdr:row>
      <xdr:rowOff>42022</xdr:rowOff>
    </xdr:to>
    <xdr:cxnSp macro="">
      <xdr:nvCxnSpPr>
        <xdr:cNvPr id="35" name="Straight Arrow Connector 34"/>
        <xdr:cNvCxnSpPr>
          <a:stCxn id="26" idx="3"/>
        </xdr:cNvCxnSpPr>
      </xdr:nvCxnSpPr>
      <xdr:spPr>
        <a:xfrm>
          <a:off x="6334125" y="2601501"/>
          <a:ext cx="385483" cy="84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14</xdr:row>
      <xdr:rowOff>41181</xdr:rowOff>
    </xdr:from>
    <xdr:to>
      <xdr:col>8</xdr:col>
      <xdr:colOff>466725</xdr:colOff>
      <xdr:row>14</xdr:row>
      <xdr:rowOff>42022</xdr:rowOff>
    </xdr:to>
    <xdr:cxnSp macro="">
      <xdr:nvCxnSpPr>
        <xdr:cNvPr id="36" name="Straight Arrow Connector 35"/>
        <xdr:cNvCxnSpPr>
          <a:stCxn id="26" idx="1"/>
        </xdr:cNvCxnSpPr>
      </xdr:nvCxnSpPr>
      <xdr:spPr>
        <a:xfrm flipH="1">
          <a:off x="4876800" y="2601501"/>
          <a:ext cx="466725" cy="84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606878</xdr:colOff>
      <xdr:row>1</xdr:row>
      <xdr:rowOff>167842</xdr:rowOff>
    </xdr:from>
    <xdr:to>
      <xdr:col>6</xdr:col>
      <xdr:colOff>4082</xdr:colOff>
      <xdr:row>4</xdr:row>
      <xdr:rowOff>167842</xdr:rowOff>
    </xdr:to>
    <xdr:cxnSp macro="">
      <xdr:nvCxnSpPr>
        <xdr:cNvPr id="37" name="Straight Connector 36"/>
        <xdr:cNvCxnSpPr/>
      </xdr:nvCxnSpPr>
      <xdr:spPr>
        <a:xfrm flipV="1">
          <a:off x="3045278" y="350722"/>
          <a:ext cx="616404" cy="5486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13607</xdr:colOff>
      <xdr:row>1</xdr:row>
      <xdr:rowOff>177366</xdr:rowOff>
    </xdr:from>
    <xdr:to>
      <xdr:col>19</xdr:col>
      <xdr:colOff>23132</xdr:colOff>
      <xdr:row>1</xdr:row>
      <xdr:rowOff>177366</xdr:rowOff>
    </xdr:to>
    <xdr:cxnSp macro="">
      <xdr:nvCxnSpPr>
        <xdr:cNvPr id="38" name="Straight Connector 37"/>
        <xdr:cNvCxnSpPr/>
      </xdr:nvCxnSpPr>
      <xdr:spPr>
        <a:xfrm>
          <a:off x="3671207" y="360246"/>
          <a:ext cx="79343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261257</xdr:colOff>
      <xdr:row>4</xdr:row>
      <xdr:rowOff>156049</xdr:rowOff>
    </xdr:from>
    <xdr:to>
      <xdr:col>5</xdr:col>
      <xdr:colOff>13607</xdr:colOff>
      <xdr:row>4</xdr:row>
      <xdr:rowOff>156049</xdr:rowOff>
    </xdr:to>
    <xdr:cxnSp macro="">
      <xdr:nvCxnSpPr>
        <xdr:cNvPr id="39" name="Straight Connector 38"/>
        <xdr:cNvCxnSpPr/>
      </xdr:nvCxnSpPr>
      <xdr:spPr>
        <a:xfrm>
          <a:off x="2090057" y="887569"/>
          <a:ext cx="9715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270782</xdr:colOff>
      <xdr:row>2</xdr:row>
      <xdr:rowOff>32223</xdr:rowOff>
    </xdr:from>
    <xdr:to>
      <xdr:col>4</xdr:col>
      <xdr:colOff>566057</xdr:colOff>
      <xdr:row>4</xdr:row>
      <xdr:rowOff>89374</xdr:rowOff>
    </xdr:to>
    <xdr:sp macro="" textlink="">
      <xdr:nvSpPr>
        <xdr:cNvPr id="40" name="TextBox 39"/>
        <xdr:cNvSpPr txBox="1"/>
      </xdr:nvSpPr>
      <xdr:spPr>
        <a:xfrm>
          <a:off x="1489982" y="397983"/>
          <a:ext cx="1514475" cy="4229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 power supply</a:t>
          </a:r>
        </a:p>
        <a:p>
          <a:r>
            <a:rPr lang="en-US" sz="1100"/>
            <a:t>Last</a:t>
          </a:r>
          <a:r>
            <a:rPr lang="en-US" sz="1100" baseline="0"/>
            <a:t> in the sequence</a:t>
          </a:r>
          <a:endParaRPr lang="en-US" sz="1100"/>
        </a:p>
      </xdr:txBody>
    </xdr:sp>
    <xdr:clientData/>
  </xdr:twoCellAnchor>
  <xdr:twoCellAnchor>
    <xdr:from>
      <xdr:col>16</xdr:col>
      <xdr:colOff>0</xdr:colOff>
      <xdr:row>6</xdr:row>
      <xdr:rowOff>34018</xdr:rowOff>
    </xdr:from>
    <xdr:to>
      <xdr:col>16</xdr:col>
      <xdr:colOff>11339</xdr:colOff>
      <xdr:row>8</xdr:row>
      <xdr:rowOff>11339</xdr:rowOff>
    </xdr:to>
    <xdr:cxnSp macro="">
      <xdr:nvCxnSpPr>
        <xdr:cNvPr id="41" name="Straight Connector 40"/>
        <xdr:cNvCxnSpPr/>
      </xdr:nvCxnSpPr>
      <xdr:spPr>
        <a:xfrm>
          <a:off x="9753600" y="1131298"/>
          <a:ext cx="11339" cy="34308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58058</xdr:colOff>
      <xdr:row>5</xdr:row>
      <xdr:rowOff>172810</xdr:rowOff>
    </xdr:from>
    <xdr:to>
      <xdr:col>10</xdr:col>
      <xdr:colOff>362857</xdr:colOff>
      <xdr:row>7</xdr:row>
      <xdr:rowOff>84817</xdr:rowOff>
    </xdr:to>
    <xdr:sp macro="" textlink="">
      <xdr:nvSpPr>
        <xdr:cNvPr id="42" name="TextBox 41"/>
        <xdr:cNvSpPr txBox="1"/>
      </xdr:nvSpPr>
      <xdr:spPr>
        <a:xfrm>
          <a:off x="5544458" y="1087210"/>
          <a:ext cx="914399" cy="2777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tpor_min</a:t>
          </a:r>
        </a:p>
      </xdr:txBody>
    </xdr:sp>
    <xdr:clientData/>
  </xdr:twoCellAnchor>
  <xdr:twoCellAnchor>
    <xdr:from>
      <xdr:col>17</xdr:col>
      <xdr:colOff>605945</xdr:colOff>
      <xdr:row>6</xdr:row>
      <xdr:rowOff>4994</xdr:rowOff>
    </xdr:from>
    <xdr:to>
      <xdr:col>18</xdr:col>
      <xdr:colOff>4962</xdr:colOff>
      <xdr:row>7</xdr:row>
      <xdr:rowOff>175083</xdr:rowOff>
    </xdr:to>
    <xdr:cxnSp macro="">
      <xdr:nvCxnSpPr>
        <xdr:cNvPr id="43" name="Straight Connector 42"/>
        <xdr:cNvCxnSpPr/>
      </xdr:nvCxnSpPr>
      <xdr:spPr>
        <a:xfrm>
          <a:off x="10969145" y="1102274"/>
          <a:ext cx="8617" cy="352969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34018</xdr:colOff>
      <xdr:row>8</xdr:row>
      <xdr:rowOff>11339</xdr:rowOff>
    </xdr:from>
    <xdr:to>
      <xdr:col>17</xdr:col>
      <xdr:colOff>600982</xdr:colOff>
      <xdr:row>8</xdr:row>
      <xdr:rowOff>11339</xdr:rowOff>
    </xdr:to>
    <xdr:cxnSp macro="">
      <xdr:nvCxnSpPr>
        <xdr:cNvPr id="44" name="Straight Connector 43"/>
        <xdr:cNvCxnSpPr/>
      </xdr:nvCxnSpPr>
      <xdr:spPr>
        <a:xfrm>
          <a:off x="9787618" y="1474379"/>
          <a:ext cx="1176564" cy="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577841</xdr:colOff>
      <xdr:row>3</xdr:row>
      <xdr:rowOff>16351</xdr:rowOff>
    </xdr:from>
    <xdr:to>
      <xdr:col>9</xdr:col>
      <xdr:colOff>560603</xdr:colOff>
      <xdr:row>3</xdr:row>
      <xdr:rowOff>16351</xdr:rowOff>
    </xdr:to>
    <xdr:cxnSp macro="">
      <xdr:nvCxnSpPr>
        <xdr:cNvPr id="45" name="Straight Arrow Connector 44"/>
        <xdr:cNvCxnSpPr/>
      </xdr:nvCxnSpPr>
      <xdr:spPr>
        <a:xfrm flipH="1">
          <a:off x="3625841" y="564991"/>
          <a:ext cx="2421162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16772</xdr:colOff>
      <xdr:row>3</xdr:row>
      <xdr:rowOff>5</xdr:rowOff>
    </xdr:from>
    <xdr:to>
      <xdr:col>17</xdr:col>
      <xdr:colOff>600982</xdr:colOff>
      <xdr:row>3</xdr:row>
      <xdr:rowOff>8446</xdr:rowOff>
    </xdr:to>
    <xdr:cxnSp macro="">
      <xdr:nvCxnSpPr>
        <xdr:cNvPr id="46" name="Straight Arrow Connector 45"/>
        <xdr:cNvCxnSpPr/>
      </xdr:nvCxnSpPr>
      <xdr:spPr>
        <a:xfrm flipV="1">
          <a:off x="6722372" y="548645"/>
          <a:ext cx="4241810" cy="844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17680</xdr:colOff>
      <xdr:row>2</xdr:row>
      <xdr:rowOff>87105</xdr:rowOff>
    </xdr:from>
    <xdr:to>
      <xdr:col>11</xdr:col>
      <xdr:colOff>322478</xdr:colOff>
      <xdr:row>3</xdr:row>
      <xdr:rowOff>191880</xdr:rowOff>
    </xdr:to>
    <xdr:sp macro="" textlink="">
      <xdr:nvSpPr>
        <xdr:cNvPr id="47" name="TextBox 46"/>
        <xdr:cNvSpPr txBox="1"/>
      </xdr:nvSpPr>
      <xdr:spPr>
        <a:xfrm>
          <a:off x="6113680" y="452865"/>
          <a:ext cx="914398" cy="280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tpor_max</a:t>
          </a:r>
        </a:p>
      </xdr:txBody>
    </xdr:sp>
    <xdr:clientData/>
  </xdr:twoCellAnchor>
  <xdr:twoCellAnchor>
    <xdr:from>
      <xdr:col>13</xdr:col>
      <xdr:colOff>2249</xdr:colOff>
      <xdr:row>20</xdr:row>
      <xdr:rowOff>169598</xdr:rowOff>
    </xdr:from>
    <xdr:to>
      <xdr:col>14</xdr:col>
      <xdr:colOff>385971</xdr:colOff>
      <xdr:row>24</xdr:row>
      <xdr:rowOff>45772</xdr:rowOff>
    </xdr:to>
    <xdr:sp macro="" textlink="">
      <xdr:nvSpPr>
        <xdr:cNvPr id="48" name="TextBox 47"/>
        <xdr:cNvSpPr txBox="1"/>
      </xdr:nvSpPr>
      <xdr:spPr>
        <a:xfrm>
          <a:off x="7927049" y="3827198"/>
          <a:ext cx="993322" cy="6076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2.3 ms</a:t>
          </a:r>
          <a:r>
            <a:rPr lang="en-US" sz="1100" baseline="0"/>
            <a:t> +/- 50% variation</a:t>
          </a:r>
          <a:br>
            <a:rPr lang="en-US" sz="1100" baseline="0"/>
          </a:br>
          <a:r>
            <a:rPr lang="en-US" sz="1100" baseline="0"/>
            <a:t>CFG sim</a:t>
          </a:r>
          <a:endParaRPr lang="en-US" sz="1100"/>
        </a:p>
      </xdr:txBody>
    </xdr:sp>
    <xdr:clientData/>
  </xdr:twoCellAnchor>
  <xdr:twoCellAnchor>
    <xdr:from>
      <xdr:col>10</xdr:col>
      <xdr:colOff>600983</xdr:colOff>
      <xdr:row>22</xdr:row>
      <xdr:rowOff>158749</xdr:rowOff>
    </xdr:from>
    <xdr:to>
      <xdr:col>12</xdr:col>
      <xdr:colOff>578304</xdr:colOff>
      <xdr:row>22</xdr:row>
      <xdr:rowOff>170088</xdr:rowOff>
    </xdr:to>
    <xdr:cxnSp macro="">
      <xdr:nvCxnSpPr>
        <xdr:cNvPr id="49" name="Straight Arrow Connector 48"/>
        <xdr:cNvCxnSpPr/>
      </xdr:nvCxnSpPr>
      <xdr:spPr>
        <a:xfrm flipH="1">
          <a:off x="6696983" y="4182109"/>
          <a:ext cx="1196521" cy="1133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385536</xdr:colOff>
      <xdr:row>22</xdr:row>
      <xdr:rowOff>158751</xdr:rowOff>
    </xdr:from>
    <xdr:to>
      <xdr:col>15</xdr:col>
      <xdr:colOff>600983</xdr:colOff>
      <xdr:row>22</xdr:row>
      <xdr:rowOff>158751</xdr:rowOff>
    </xdr:to>
    <xdr:cxnSp macro="">
      <xdr:nvCxnSpPr>
        <xdr:cNvPr id="50" name="Straight Arrow Connector 49"/>
        <xdr:cNvCxnSpPr/>
      </xdr:nvCxnSpPr>
      <xdr:spPr>
        <a:xfrm>
          <a:off x="8919936" y="4182111"/>
          <a:ext cx="825047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608208</xdr:colOff>
      <xdr:row>0</xdr:row>
      <xdr:rowOff>114300</xdr:rowOff>
    </xdr:from>
    <xdr:to>
      <xdr:col>16</xdr:col>
      <xdr:colOff>5411</xdr:colOff>
      <xdr:row>24</xdr:row>
      <xdr:rowOff>171450</xdr:rowOff>
    </xdr:to>
    <xdr:cxnSp macro="">
      <xdr:nvCxnSpPr>
        <xdr:cNvPr id="51" name="Straight Connector 50"/>
        <xdr:cNvCxnSpPr/>
      </xdr:nvCxnSpPr>
      <xdr:spPr>
        <a:xfrm flipH="1">
          <a:off x="9752208" y="114300"/>
          <a:ext cx="6803" cy="444627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19</xdr:row>
      <xdr:rowOff>0</xdr:rowOff>
    </xdr:from>
    <xdr:to>
      <xdr:col>8</xdr:col>
      <xdr:colOff>9525</xdr:colOff>
      <xdr:row>19</xdr:row>
      <xdr:rowOff>0</xdr:rowOff>
    </xdr:to>
    <xdr:cxnSp macro="">
      <xdr:nvCxnSpPr>
        <xdr:cNvPr id="2" name="Straight Connector 1"/>
        <xdr:cNvCxnSpPr/>
      </xdr:nvCxnSpPr>
      <xdr:spPr>
        <a:xfrm>
          <a:off x="4933950" y="3474720"/>
          <a:ext cx="600075" cy="0"/>
        </a:xfrm>
        <a:prstGeom prst="line">
          <a:avLst/>
        </a:prstGeom>
        <a:ln w="15875"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9525</xdr:rowOff>
    </xdr:from>
    <xdr:to>
      <xdr:col>10</xdr:col>
      <xdr:colOff>590550</xdr:colOff>
      <xdr:row>25</xdr:row>
      <xdr:rowOff>9525</xdr:rowOff>
    </xdr:to>
    <xdr:cxnSp macro="">
      <xdr:nvCxnSpPr>
        <xdr:cNvPr id="3" name="Straight Connector 2"/>
        <xdr:cNvCxnSpPr/>
      </xdr:nvCxnSpPr>
      <xdr:spPr>
        <a:xfrm>
          <a:off x="6143625" y="4581525"/>
          <a:ext cx="1190625" cy="0"/>
        </a:xfrm>
        <a:prstGeom prst="line">
          <a:avLst/>
        </a:prstGeom>
        <a:ln w="15875"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28</xdr:row>
      <xdr:rowOff>9525</xdr:rowOff>
    </xdr:from>
    <xdr:to>
      <xdr:col>11</xdr:col>
      <xdr:colOff>600075</xdr:colOff>
      <xdr:row>28</xdr:row>
      <xdr:rowOff>9525</xdr:rowOff>
    </xdr:to>
    <xdr:cxnSp macro="">
      <xdr:nvCxnSpPr>
        <xdr:cNvPr id="4" name="Straight Connector 3"/>
        <xdr:cNvCxnSpPr/>
      </xdr:nvCxnSpPr>
      <xdr:spPr>
        <a:xfrm>
          <a:off x="6134100" y="5130165"/>
          <a:ext cx="1819275" cy="0"/>
        </a:xfrm>
        <a:prstGeom prst="line">
          <a:avLst/>
        </a:prstGeom>
        <a:ln w="15875"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11</xdr:row>
      <xdr:rowOff>0</xdr:rowOff>
    </xdr:from>
    <xdr:to>
      <xdr:col>13</xdr:col>
      <xdr:colOff>0</xdr:colOff>
      <xdr:row>11</xdr:row>
      <xdr:rowOff>0</xdr:rowOff>
    </xdr:to>
    <xdr:cxnSp macro="">
      <xdr:nvCxnSpPr>
        <xdr:cNvPr id="5" name="Straight Connector 4"/>
        <xdr:cNvCxnSpPr/>
      </xdr:nvCxnSpPr>
      <xdr:spPr>
        <a:xfrm>
          <a:off x="3095625" y="2011680"/>
          <a:ext cx="5476875" cy="0"/>
        </a:xfrm>
        <a:prstGeom prst="line">
          <a:avLst/>
        </a:prstGeom>
        <a:ln w="28575">
          <a:solidFill>
            <a:schemeClr val="accent2"/>
          </a:solidFill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21</xdr:row>
      <xdr:rowOff>180975</xdr:rowOff>
    </xdr:from>
    <xdr:to>
      <xdr:col>9</xdr:col>
      <xdr:colOff>0</xdr:colOff>
      <xdr:row>21</xdr:row>
      <xdr:rowOff>180975</xdr:rowOff>
    </xdr:to>
    <xdr:cxnSp macro="">
      <xdr:nvCxnSpPr>
        <xdr:cNvPr id="6" name="Straight Connector 5"/>
        <xdr:cNvCxnSpPr/>
      </xdr:nvCxnSpPr>
      <xdr:spPr>
        <a:xfrm>
          <a:off x="5534025" y="4021455"/>
          <a:ext cx="600075" cy="0"/>
        </a:xfrm>
        <a:prstGeom prst="line">
          <a:avLst/>
        </a:prstGeom>
        <a:ln w="28575">
          <a:solidFill>
            <a:schemeClr val="accent2"/>
          </a:solidFill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5</xdr:row>
      <xdr:rowOff>0</xdr:rowOff>
    </xdr:from>
    <xdr:to>
      <xdr:col>13</xdr:col>
      <xdr:colOff>9525</xdr:colOff>
      <xdr:row>5</xdr:row>
      <xdr:rowOff>0</xdr:rowOff>
    </xdr:to>
    <xdr:cxnSp macro="">
      <xdr:nvCxnSpPr>
        <xdr:cNvPr id="7" name="Straight Connector 6"/>
        <xdr:cNvCxnSpPr/>
      </xdr:nvCxnSpPr>
      <xdr:spPr>
        <a:xfrm>
          <a:off x="4305300" y="914400"/>
          <a:ext cx="4276725" cy="0"/>
        </a:xfrm>
        <a:prstGeom prst="line">
          <a:avLst/>
        </a:prstGeom>
        <a:ln w="15875">
          <a:solidFill>
            <a:schemeClr val="accent2"/>
          </a:solidFill>
          <a:prstDash val="sysDash"/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8</xdr:row>
      <xdr:rowOff>19050</xdr:rowOff>
    </xdr:from>
    <xdr:to>
      <xdr:col>13</xdr:col>
      <xdr:colOff>9525</xdr:colOff>
      <xdr:row>8</xdr:row>
      <xdr:rowOff>19050</xdr:rowOff>
    </xdr:to>
    <xdr:cxnSp macro="">
      <xdr:nvCxnSpPr>
        <xdr:cNvPr id="8" name="Straight Connector 7"/>
        <xdr:cNvCxnSpPr/>
      </xdr:nvCxnSpPr>
      <xdr:spPr>
        <a:xfrm>
          <a:off x="7362825" y="1482090"/>
          <a:ext cx="1219200" cy="0"/>
        </a:xfrm>
        <a:prstGeom prst="line">
          <a:avLst/>
        </a:prstGeom>
        <a:ln w="15875">
          <a:solidFill>
            <a:schemeClr val="accent2"/>
          </a:solidFill>
          <a:prstDash val="sysDash"/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200025</xdr:colOff>
      <xdr:row>5</xdr:row>
      <xdr:rowOff>180975</xdr:rowOff>
    </xdr:from>
    <xdr:ext cx="896720" cy="374141"/>
    <xdr:sp macro="" textlink="">
      <xdr:nvSpPr>
        <xdr:cNvPr id="9" name="TextBox 8"/>
        <xdr:cNvSpPr txBox="1"/>
      </xdr:nvSpPr>
      <xdr:spPr>
        <a:xfrm>
          <a:off x="7553325" y="1095375"/>
          <a:ext cx="89672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</a:t>
          </a:r>
          <a:r>
            <a:rPr lang="en-US" sz="1800" baseline="-25000"/>
            <a:t>reset2init</a:t>
          </a:r>
        </a:p>
      </xdr:txBody>
    </xdr:sp>
    <xdr:clientData/>
  </xdr:oneCellAnchor>
  <xdr:oneCellAnchor>
    <xdr:from>
      <xdr:col>7</xdr:col>
      <xdr:colOff>523875</xdr:colOff>
      <xdr:row>9</xdr:row>
      <xdr:rowOff>0</xdr:rowOff>
    </xdr:from>
    <xdr:ext cx="512833" cy="374141"/>
    <xdr:sp macro="" textlink="">
      <xdr:nvSpPr>
        <xdr:cNvPr id="10" name="TextBox 9"/>
        <xdr:cNvSpPr txBox="1"/>
      </xdr:nvSpPr>
      <xdr:spPr>
        <a:xfrm>
          <a:off x="5438775" y="1645920"/>
          <a:ext cx="51283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</a:t>
          </a:r>
          <a:r>
            <a:rPr lang="en-US" sz="1800" baseline="-25000"/>
            <a:t>por</a:t>
          </a:r>
        </a:p>
      </xdr:txBody>
    </xdr:sp>
    <xdr:clientData/>
  </xdr:oneCellAnchor>
  <xdr:oneCellAnchor>
    <xdr:from>
      <xdr:col>5</xdr:col>
      <xdr:colOff>228600</xdr:colOff>
      <xdr:row>17</xdr:row>
      <xdr:rowOff>47625</xdr:rowOff>
    </xdr:from>
    <xdr:ext cx="1067665" cy="374141"/>
    <xdr:sp macro="" textlink="">
      <xdr:nvSpPr>
        <xdr:cNvPr id="11" name="TextBox 10"/>
        <xdr:cNvSpPr txBox="1"/>
      </xdr:nvSpPr>
      <xdr:spPr>
        <a:xfrm>
          <a:off x="3924300" y="3156585"/>
          <a:ext cx="106766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</a:t>
          </a:r>
          <a:r>
            <a:rPr lang="en-US" sz="1800" baseline="-25000"/>
            <a:t>pspor2clkrst</a:t>
          </a:r>
        </a:p>
      </xdr:txBody>
    </xdr:sp>
    <xdr:clientData/>
  </xdr:oneCellAnchor>
  <xdr:oneCellAnchor>
    <xdr:from>
      <xdr:col>6</xdr:col>
      <xdr:colOff>276225</xdr:colOff>
      <xdr:row>20</xdr:row>
      <xdr:rowOff>66675</xdr:rowOff>
    </xdr:from>
    <xdr:ext cx="917880" cy="374141"/>
    <xdr:sp macro="" textlink="">
      <xdr:nvSpPr>
        <xdr:cNvPr id="12" name="TextBox 11"/>
        <xdr:cNvSpPr txBox="1"/>
      </xdr:nvSpPr>
      <xdr:spPr>
        <a:xfrm>
          <a:off x="4581525" y="3724275"/>
          <a:ext cx="91788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</a:t>
          </a:r>
          <a:r>
            <a:rPr lang="en-US" sz="1800" baseline="-25000"/>
            <a:t>lock_pspll</a:t>
          </a:r>
        </a:p>
      </xdr:txBody>
    </xdr:sp>
    <xdr:clientData/>
  </xdr:oneCellAnchor>
  <xdr:oneCellAnchor>
    <xdr:from>
      <xdr:col>11</xdr:col>
      <xdr:colOff>47625</xdr:colOff>
      <xdr:row>23</xdr:row>
      <xdr:rowOff>95250</xdr:rowOff>
    </xdr:from>
    <xdr:ext cx="1263616" cy="374141"/>
    <xdr:sp macro="" textlink="">
      <xdr:nvSpPr>
        <xdr:cNvPr id="13" name="TextBox 12"/>
        <xdr:cNvSpPr txBox="1"/>
      </xdr:nvSpPr>
      <xdr:spPr>
        <a:xfrm>
          <a:off x="7400925" y="4301490"/>
          <a:ext cx="126361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</a:t>
          </a:r>
          <a:r>
            <a:rPr lang="en-US" sz="1800" baseline="-25000"/>
            <a:t>lock2progb_fall</a:t>
          </a:r>
        </a:p>
      </xdr:txBody>
    </xdr:sp>
    <xdr:clientData/>
  </xdr:oneCellAnchor>
  <xdr:oneCellAnchor>
    <xdr:from>
      <xdr:col>6</xdr:col>
      <xdr:colOff>552450</xdr:colOff>
      <xdr:row>26</xdr:row>
      <xdr:rowOff>180975</xdr:rowOff>
    </xdr:from>
    <xdr:ext cx="1306640" cy="374141"/>
    <xdr:sp macro="" textlink="">
      <xdr:nvSpPr>
        <xdr:cNvPr id="14" name="TextBox 13"/>
        <xdr:cNvSpPr txBox="1"/>
      </xdr:nvSpPr>
      <xdr:spPr>
        <a:xfrm>
          <a:off x="4857750" y="4935855"/>
          <a:ext cx="130664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</a:t>
          </a:r>
          <a:r>
            <a:rPr lang="en-US" sz="1800" baseline="-25000"/>
            <a:t>lock2reset_read</a:t>
          </a:r>
        </a:p>
      </xdr:txBody>
    </xdr:sp>
    <xdr:clientData/>
  </xdr:oneCellAnchor>
  <xdr:oneCellAnchor>
    <xdr:from>
      <xdr:col>4</xdr:col>
      <xdr:colOff>161925</xdr:colOff>
      <xdr:row>3</xdr:row>
      <xdr:rowOff>57150</xdr:rowOff>
    </xdr:from>
    <xdr:ext cx="1042465" cy="374141"/>
    <xdr:sp macro="" textlink="">
      <xdr:nvSpPr>
        <xdr:cNvPr id="15" name="TextBox 14"/>
        <xdr:cNvSpPr txBox="1"/>
      </xdr:nvSpPr>
      <xdr:spPr>
        <a:xfrm>
          <a:off x="3248025" y="605790"/>
          <a:ext cx="104246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</a:t>
          </a:r>
          <a:r>
            <a:rPr lang="en-US" sz="1800" baseline="-25000"/>
            <a:t>porbint2init</a:t>
          </a:r>
        </a:p>
      </xdr:txBody>
    </xdr:sp>
    <xdr:clientData/>
  </xdr:oneCellAnchor>
  <xdr:twoCellAnchor>
    <xdr:from>
      <xdr:col>4</xdr:col>
      <xdr:colOff>19050</xdr:colOff>
      <xdr:row>16</xdr:row>
      <xdr:rowOff>9525</xdr:rowOff>
    </xdr:from>
    <xdr:to>
      <xdr:col>7</xdr:col>
      <xdr:colOff>9525</xdr:colOff>
      <xdr:row>16</xdr:row>
      <xdr:rowOff>9525</xdr:rowOff>
    </xdr:to>
    <xdr:cxnSp macro="">
      <xdr:nvCxnSpPr>
        <xdr:cNvPr id="16" name="Straight Connector 15"/>
        <xdr:cNvCxnSpPr/>
      </xdr:nvCxnSpPr>
      <xdr:spPr>
        <a:xfrm>
          <a:off x="3105150" y="2935605"/>
          <a:ext cx="1819275" cy="0"/>
        </a:xfrm>
        <a:prstGeom prst="line">
          <a:avLst/>
        </a:prstGeom>
        <a:ln w="38100">
          <a:solidFill>
            <a:schemeClr val="accent3"/>
          </a:solidFill>
          <a:prstDash val="sysDot"/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</xdr:colOff>
      <xdr:row>2</xdr:row>
      <xdr:rowOff>9525</xdr:rowOff>
    </xdr:from>
    <xdr:to>
      <xdr:col>4</xdr:col>
      <xdr:colOff>0</xdr:colOff>
      <xdr:row>2</xdr:row>
      <xdr:rowOff>9525</xdr:rowOff>
    </xdr:to>
    <xdr:cxnSp macro="">
      <xdr:nvCxnSpPr>
        <xdr:cNvPr id="17" name="Straight Connector 16"/>
        <xdr:cNvCxnSpPr/>
      </xdr:nvCxnSpPr>
      <xdr:spPr>
        <a:xfrm>
          <a:off x="2486025" y="375285"/>
          <a:ext cx="600075" cy="0"/>
        </a:xfrm>
        <a:prstGeom prst="line">
          <a:avLst/>
        </a:prstGeom>
        <a:ln w="38100">
          <a:solidFill>
            <a:schemeClr val="accent3"/>
          </a:solidFill>
          <a:prstDash val="sysDot"/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104775</xdr:colOff>
      <xdr:row>1</xdr:row>
      <xdr:rowOff>38100</xdr:rowOff>
    </xdr:from>
    <xdr:ext cx="949491" cy="374141"/>
    <xdr:sp macro="" textlink="">
      <xdr:nvSpPr>
        <xdr:cNvPr id="18" name="TextBox 17"/>
        <xdr:cNvSpPr txBox="1"/>
      </xdr:nvSpPr>
      <xdr:spPr>
        <a:xfrm>
          <a:off x="3190875" y="220980"/>
          <a:ext cx="94949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</a:t>
          </a:r>
          <a:r>
            <a:rPr lang="en-US" sz="1800" baseline="-25000"/>
            <a:t>pwr_ramp</a:t>
          </a:r>
        </a:p>
      </xdr:txBody>
    </xdr:sp>
    <xdr:clientData/>
  </xdr:oneCellAnchor>
  <xdr:oneCellAnchor>
    <xdr:from>
      <xdr:col>4</xdr:col>
      <xdr:colOff>247650</xdr:colOff>
      <xdr:row>14</xdr:row>
      <xdr:rowOff>19050</xdr:rowOff>
    </xdr:from>
    <xdr:ext cx="1037143" cy="374141"/>
    <xdr:sp macro="" textlink="">
      <xdr:nvSpPr>
        <xdr:cNvPr id="19" name="TextBox 18"/>
        <xdr:cNvSpPr txBox="1"/>
      </xdr:nvSpPr>
      <xdr:spPr>
        <a:xfrm>
          <a:off x="3333750" y="2579370"/>
          <a:ext cx="103714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</a:t>
          </a:r>
          <a:r>
            <a:rPr lang="en-US" sz="1800" baseline="-25000"/>
            <a:t>psporb_rise</a:t>
          </a:r>
        </a:p>
      </xdr:txBody>
    </xdr:sp>
    <xdr:clientData/>
  </xdr:oneCellAnchor>
  <xdr:twoCellAnchor>
    <xdr:from>
      <xdr:col>6</xdr:col>
      <xdr:colOff>0</xdr:colOff>
      <xdr:row>8</xdr:row>
      <xdr:rowOff>19050</xdr:rowOff>
    </xdr:from>
    <xdr:to>
      <xdr:col>11</xdr:col>
      <xdr:colOff>0</xdr:colOff>
      <xdr:row>8</xdr:row>
      <xdr:rowOff>19050</xdr:rowOff>
    </xdr:to>
    <xdr:cxnSp macro="">
      <xdr:nvCxnSpPr>
        <xdr:cNvPr id="20" name="Straight Connector 19"/>
        <xdr:cNvCxnSpPr/>
      </xdr:nvCxnSpPr>
      <xdr:spPr>
        <a:xfrm>
          <a:off x="4305300" y="1482090"/>
          <a:ext cx="3048000" cy="0"/>
        </a:xfrm>
        <a:prstGeom prst="line">
          <a:avLst/>
        </a:prstGeom>
        <a:ln w="15875">
          <a:solidFill>
            <a:schemeClr val="accent2"/>
          </a:solidFill>
          <a:prstDash val="sysDash"/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285750</xdr:colOff>
      <xdr:row>7</xdr:row>
      <xdr:rowOff>47625</xdr:rowOff>
    </xdr:from>
    <xdr:ext cx="1157946" cy="374141"/>
    <xdr:sp macro="" textlink="">
      <xdr:nvSpPr>
        <xdr:cNvPr id="21" name="TextBox 20"/>
        <xdr:cNvSpPr txBox="1"/>
      </xdr:nvSpPr>
      <xdr:spPr>
        <a:xfrm>
          <a:off x="3371850" y="1327785"/>
          <a:ext cx="11579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</a:t>
          </a:r>
          <a:r>
            <a:rPr lang="en-US" sz="1800" baseline="-25000"/>
            <a:t>porbint2reset</a:t>
          </a:r>
        </a:p>
      </xdr:txBody>
    </xdr:sp>
    <xdr:clientData/>
  </xdr:oneCellAnchor>
  <xdr:twoCellAnchor>
    <xdr:from>
      <xdr:col>4</xdr:col>
      <xdr:colOff>9525</xdr:colOff>
      <xdr:row>13</xdr:row>
      <xdr:rowOff>0</xdr:rowOff>
    </xdr:from>
    <xdr:to>
      <xdr:col>11</xdr:col>
      <xdr:colOff>0</xdr:colOff>
      <xdr:row>13</xdr:row>
      <xdr:rowOff>0</xdr:rowOff>
    </xdr:to>
    <xdr:cxnSp macro="">
      <xdr:nvCxnSpPr>
        <xdr:cNvPr id="22" name="Straight Connector 21"/>
        <xdr:cNvCxnSpPr/>
      </xdr:nvCxnSpPr>
      <xdr:spPr>
        <a:xfrm>
          <a:off x="3095625" y="2377440"/>
          <a:ext cx="4257675" cy="0"/>
        </a:xfrm>
        <a:prstGeom prst="line">
          <a:avLst/>
        </a:prstGeom>
        <a:ln w="28575">
          <a:solidFill>
            <a:schemeClr val="accent4"/>
          </a:solidFill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314325</xdr:colOff>
      <xdr:row>12</xdr:row>
      <xdr:rowOff>9525</xdr:rowOff>
    </xdr:from>
    <xdr:ext cx="318229" cy="374141"/>
    <xdr:sp macro="" textlink="">
      <xdr:nvSpPr>
        <xdr:cNvPr id="23" name="TextBox 22"/>
        <xdr:cNvSpPr txBox="1"/>
      </xdr:nvSpPr>
      <xdr:spPr>
        <a:xfrm>
          <a:off x="2790825" y="2204085"/>
          <a:ext cx="31822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A</a:t>
          </a:r>
          <a:endParaRPr lang="en-US" sz="1800" baseline="-25000"/>
        </a:p>
      </xdr:txBody>
    </xdr:sp>
    <xdr:clientData/>
  </xdr:oneCellAnchor>
  <xdr:twoCellAnchor>
    <xdr:from>
      <xdr:col>3</xdr:col>
      <xdr:colOff>600075</xdr:colOff>
      <xdr:row>23</xdr:row>
      <xdr:rowOff>114300</xdr:rowOff>
    </xdr:from>
    <xdr:to>
      <xdr:col>10</xdr:col>
      <xdr:colOff>590550</xdr:colOff>
      <xdr:row>23</xdr:row>
      <xdr:rowOff>114300</xdr:rowOff>
    </xdr:to>
    <xdr:cxnSp macro="">
      <xdr:nvCxnSpPr>
        <xdr:cNvPr id="24" name="Straight Connector 23"/>
        <xdr:cNvCxnSpPr/>
      </xdr:nvCxnSpPr>
      <xdr:spPr>
        <a:xfrm>
          <a:off x="3076575" y="4320540"/>
          <a:ext cx="4257675" cy="0"/>
        </a:xfrm>
        <a:prstGeom prst="line">
          <a:avLst/>
        </a:prstGeom>
        <a:ln w="28575">
          <a:solidFill>
            <a:schemeClr val="accent4"/>
          </a:solidFill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276225</xdr:colOff>
      <xdr:row>22</xdr:row>
      <xdr:rowOff>171450</xdr:rowOff>
    </xdr:from>
    <xdr:ext cx="310213" cy="374141"/>
    <xdr:sp macro="" textlink="">
      <xdr:nvSpPr>
        <xdr:cNvPr id="25" name="TextBox 24"/>
        <xdr:cNvSpPr txBox="1"/>
      </xdr:nvSpPr>
      <xdr:spPr>
        <a:xfrm>
          <a:off x="2752725" y="4194810"/>
          <a:ext cx="31021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aseline="0"/>
            <a:t>B</a:t>
          </a:r>
          <a:endParaRPr lang="en-US" sz="1800" baseline="-25000"/>
        </a:p>
      </xdr:txBody>
    </xdr:sp>
    <xdr:clientData/>
  </xdr:oneCellAnchor>
  <xdr:twoCellAnchor>
    <xdr:from>
      <xdr:col>4</xdr:col>
      <xdr:colOff>0</xdr:colOff>
      <xdr:row>27</xdr:row>
      <xdr:rowOff>38100</xdr:rowOff>
    </xdr:from>
    <xdr:to>
      <xdr:col>12</xdr:col>
      <xdr:colOff>0</xdr:colOff>
      <xdr:row>27</xdr:row>
      <xdr:rowOff>38100</xdr:rowOff>
    </xdr:to>
    <xdr:cxnSp macro="">
      <xdr:nvCxnSpPr>
        <xdr:cNvPr id="26" name="Straight Connector 25"/>
        <xdr:cNvCxnSpPr/>
      </xdr:nvCxnSpPr>
      <xdr:spPr>
        <a:xfrm>
          <a:off x="3086100" y="4975860"/>
          <a:ext cx="4876800" cy="0"/>
        </a:xfrm>
        <a:prstGeom prst="line">
          <a:avLst/>
        </a:prstGeom>
        <a:ln w="28575">
          <a:solidFill>
            <a:schemeClr val="accent4"/>
          </a:solidFill>
          <a:headEnd type="diamond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285750</xdr:colOff>
      <xdr:row>26</xdr:row>
      <xdr:rowOff>47625</xdr:rowOff>
    </xdr:from>
    <xdr:ext cx="307777" cy="374141"/>
    <xdr:sp macro="" textlink="">
      <xdr:nvSpPr>
        <xdr:cNvPr id="27" name="TextBox 26"/>
        <xdr:cNvSpPr txBox="1"/>
      </xdr:nvSpPr>
      <xdr:spPr>
        <a:xfrm>
          <a:off x="2762250" y="4802505"/>
          <a:ext cx="30777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aseline="0"/>
            <a:t>C</a:t>
          </a:r>
          <a:endParaRPr lang="en-US" sz="1800" baseline="-250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Z47"/>
  <sheetViews>
    <sheetView tabSelected="1" workbookViewId="0">
      <selection activeCell="I6" sqref="I6"/>
    </sheetView>
  </sheetViews>
  <sheetFormatPr defaultRowHeight="15" x14ac:dyDescent="0.25"/>
  <cols>
    <col min="3" max="3" width="28.7109375" customWidth="1"/>
    <col min="4" max="4" width="15.7109375" customWidth="1"/>
    <col min="6" max="6" width="11.140625" customWidth="1"/>
    <col min="8" max="8" width="4.140625" customWidth="1"/>
    <col min="9" max="9" width="6.7109375" customWidth="1"/>
    <col min="20" max="20" width="12.140625" bestFit="1" customWidth="1"/>
    <col min="22" max="22" width="8.7109375" customWidth="1"/>
    <col min="23" max="23" width="9.42578125" customWidth="1"/>
    <col min="24" max="24" width="9.7109375" customWidth="1"/>
  </cols>
  <sheetData>
    <row r="1" spans="3:26" x14ac:dyDescent="0.25">
      <c r="C1" s="42" t="s">
        <v>49</v>
      </c>
      <c r="D1" s="42"/>
      <c r="E1" s="20" t="s">
        <v>51</v>
      </c>
    </row>
    <row r="2" spans="3:26" x14ac:dyDescent="0.25">
      <c r="C2" s="21" t="s">
        <v>43</v>
      </c>
      <c r="D2" s="26">
        <v>33.33</v>
      </c>
      <c r="E2" s="25" t="s">
        <v>44</v>
      </c>
      <c r="S2" s="35"/>
      <c r="T2" s="35">
        <v>7010</v>
      </c>
      <c r="U2" s="35">
        <v>7015</v>
      </c>
      <c r="V2" s="35">
        <v>7020</v>
      </c>
      <c r="W2" s="35">
        <v>7030</v>
      </c>
      <c r="X2" s="35">
        <v>7035</v>
      </c>
      <c r="Y2" s="35">
        <v>7045</v>
      </c>
      <c r="Z2" s="35">
        <v>7100</v>
      </c>
    </row>
    <row r="3" spans="3:26" x14ac:dyDescent="0.25">
      <c r="C3" s="21" t="s">
        <v>46</v>
      </c>
      <c r="D3" s="26">
        <v>7010</v>
      </c>
      <c r="E3" s="25" t="s">
        <v>52</v>
      </c>
      <c r="S3" s="35"/>
      <c r="T3" s="35"/>
      <c r="U3" s="35"/>
      <c r="V3" s="35"/>
      <c r="W3" s="35"/>
      <c r="X3" s="35"/>
      <c r="Y3" s="35"/>
      <c r="Z3" s="35"/>
    </row>
    <row r="4" spans="3:26" ht="27" customHeight="1" x14ac:dyDescent="0.25">
      <c r="C4" s="36" t="s">
        <v>82</v>
      </c>
      <c r="D4" s="26">
        <v>6</v>
      </c>
      <c r="E4" s="25" t="s">
        <v>83</v>
      </c>
      <c r="R4" s="37"/>
      <c r="S4" s="35"/>
      <c r="T4" s="35"/>
      <c r="U4" s="35"/>
      <c r="V4" s="35"/>
      <c r="W4" s="35"/>
      <c r="X4" s="35"/>
      <c r="Y4" s="35"/>
      <c r="Z4" s="35"/>
    </row>
    <row r="5" spans="3:26" hidden="1" x14ac:dyDescent="0.25">
      <c r="C5" s="21" t="s">
        <v>47</v>
      </c>
      <c r="D5" s="26">
        <v>-1</v>
      </c>
      <c r="E5" s="25" t="s">
        <v>52</v>
      </c>
      <c r="R5" s="37"/>
      <c r="S5" s="35"/>
      <c r="T5" s="35"/>
      <c r="U5" s="35"/>
      <c r="V5" s="35"/>
      <c r="W5" s="35"/>
      <c r="X5" s="35"/>
      <c r="Y5" s="35"/>
      <c r="Z5" s="35"/>
    </row>
    <row r="6" spans="3:26" x14ac:dyDescent="0.25">
      <c r="C6" s="33" t="s">
        <v>75</v>
      </c>
      <c r="D6" s="26" t="b">
        <v>0</v>
      </c>
      <c r="E6" s="34" t="s">
        <v>52</v>
      </c>
      <c r="R6" s="37"/>
      <c r="S6" s="27">
        <v>7010</v>
      </c>
      <c r="T6" s="27">
        <v>1.153</v>
      </c>
      <c r="U6" s="35"/>
      <c r="V6" s="28">
        <v>-1</v>
      </c>
      <c r="W6" s="30">
        <v>19</v>
      </c>
      <c r="X6" s="28">
        <v>35</v>
      </c>
      <c r="Y6" s="35"/>
      <c r="Z6" s="35"/>
    </row>
    <row r="7" spans="3:26" x14ac:dyDescent="0.25">
      <c r="C7" s="33" t="s">
        <v>79</v>
      </c>
      <c r="D7" s="26" t="b">
        <v>0</v>
      </c>
      <c r="E7" s="34" t="s">
        <v>52</v>
      </c>
      <c r="R7" s="37"/>
      <c r="S7" s="27"/>
      <c r="T7" s="27"/>
      <c r="U7" s="35"/>
      <c r="V7" s="28"/>
      <c r="W7" s="30"/>
      <c r="X7" s="28"/>
      <c r="Y7" s="35"/>
      <c r="Z7" s="35"/>
    </row>
    <row r="8" spans="3:26" x14ac:dyDescent="0.25">
      <c r="R8" s="37"/>
      <c r="S8" s="27"/>
      <c r="T8" s="27"/>
      <c r="U8" s="35"/>
      <c r="V8" s="28"/>
      <c r="W8" s="30"/>
      <c r="X8" s="28"/>
      <c r="Y8" s="35"/>
      <c r="Z8" s="35"/>
    </row>
    <row r="9" spans="3:26" hidden="1" x14ac:dyDescent="0.25">
      <c r="C9" s="41" t="s">
        <v>50</v>
      </c>
      <c r="D9" s="41"/>
      <c r="R9" s="37"/>
      <c r="S9" s="27">
        <v>7015</v>
      </c>
      <c r="T9" s="27">
        <v>1.242</v>
      </c>
      <c r="U9" s="35"/>
      <c r="V9" s="28">
        <v>-2</v>
      </c>
      <c r="W9" s="30">
        <v>19</v>
      </c>
      <c r="X9" s="28">
        <v>35</v>
      </c>
      <c r="Y9" s="35"/>
      <c r="Z9" s="35"/>
    </row>
    <row r="10" spans="3:26" hidden="1" x14ac:dyDescent="0.25">
      <c r="C10" s="19" t="s">
        <v>45</v>
      </c>
      <c r="D10" s="19">
        <f>IF(D3=7010, T6,0)+IF(D3=7015, T9,0)+IF(D3=7020, T10,0)+IF(D3=7030, T11,0)+IF(D3=7035, T12,0)+IF(D3=7045, T13,0)+IF(D3=7100, T14,0)</f>
        <v>1.153</v>
      </c>
      <c r="R10" s="37"/>
      <c r="S10" s="27">
        <v>7020</v>
      </c>
      <c r="T10" s="27">
        <v>1.3240000000000001</v>
      </c>
      <c r="U10" s="35"/>
      <c r="V10" s="28">
        <v>-3</v>
      </c>
      <c r="W10" s="30">
        <v>19</v>
      </c>
      <c r="X10" s="28">
        <v>35</v>
      </c>
      <c r="Y10" s="35"/>
      <c r="Z10" s="35"/>
    </row>
    <row r="11" spans="3:26" hidden="1" x14ac:dyDescent="0.25">
      <c r="C11" s="19" t="s">
        <v>48</v>
      </c>
      <c r="D11" s="19">
        <f>1.33+D10</f>
        <v>2.4830000000000001</v>
      </c>
      <c r="R11" s="37"/>
      <c r="S11" s="27">
        <v>7030</v>
      </c>
      <c r="T11" s="27">
        <v>1.446</v>
      </c>
      <c r="U11" s="35"/>
      <c r="V11" s="35"/>
      <c r="W11" s="35"/>
      <c r="X11" s="35"/>
      <c r="Y11" s="35"/>
      <c r="Z11" s="35"/>
    </row>
    <row r="12" spans="3:26" hidden="1" x14ac:dyDescent="0.25">
      <c r="R12" s="37"/>
      <c r="S12" s="27">
        <v>7035</v>
      </c>
      <c r="T12" s="27">
        <v>1.6910000000000001</v>
      </c>
      <c r="U12" s="35"/>
      <c r="V12" s="35"/>
      <c r="W12" s="35"/>
      <c r="X12" s="35" t="b">
        <v>1</v>
      </c>
      <c r="Y12" s="35"/>
      <c r="Z12" s="35"/>
    </row>
    <row r="13" spans="3:26" x14ac:dyDescent="0.25">
      <c r="C13" s="48" t="s">
        <v>57</v>
      </c>
      <c r="D13" s="49"/>
      <c r="E13" s="31"/>
      <c r="F13" s="31"/>
      <c r="R13" s="37"/>
      <c r="S13" s="27">
        <v>7045</v>
      </c>
      <c r="T13" s="27">
        <v>1.6910000000000001</v>
      </c>
      <c r="U13" s="35"/>
      <c r="V13" s="35"/>
      <c r="W13" s="35"/>
      <c r="X13" s="35" t="b">
        <v>0</v>
      </c>
      <c r="Y13" s="35"/>
      <c r="Z13" s="35"/>
    </row>
    <row r="14" spans="3:26" x14ac:dyDescent="0.25">
      <c r="C14" s="23" t="s">
        <v>84</v>
      </c>
      <c r="D14" s="23">
        <f>ROUND(IF($D$5=-1,$W$6,0)+IF(D5=-2,W9,0)+IF(D5=-3,W10,0)-1.5*D11-1.2*43700*(1/IF(D7=TRUE,D2/26,D2))*1/1000-IF(D6=TRUE,921308*(1/IF(D7=TRUE,D2/26,D2))*1/1000,0),2)</f>
        <v>13.7</v>
      </c>
      <c r="E14" s="24"/>
      <c r="F14" s="24"/>
      <c r="R14" s="37"/>
      <c r="S14" s="27">
        <v>7100</v>
      </c>
      <c r="T14" s="27">
        <v>2.0339999999999998</v>
      </c>
      <c r="U14" s="35"/>
      <c r="V14" s="35"/>
      <c r="W14" s="35"/>
      <c r="X14" s="35"/>
      <c r="Y14" s="35"/>
      <c r="Z14" s="35"/>
    </row>
    <row r="15" spans="3:26" ht="14.45" customHeight="1" x14ac:dyDescent="0.25">
      <c r="C15" s="22" t="s">
        <v>85</v>
      </c>
      <c r="D15" s="29">
        <f>ROUND(IF(D5=-1,X6,0)+IF(D5=-2,X9,0)+IF(D5=-3,X10,0)+((0.95*D4) -0)-0.5*D10-0.8*43700*(1/IF(D7=TRUE,D2/26,D2))*1/1000-IF(D6=TRUE,921308*(1/IF(D7=TRUE,D2/26,D2))*1/1000,0),2)</f>
        <v>39.07</v>
      </c>
      <c r="E15" s="46"/>
      <c r="F15" s="47"/>
      <c r="G15" s="47"/>
      <c r="H15" s="47"/>
      <c r="I15" s="47"/>
      <c r="J15" s="47"/>
      <c r="K15" s="47"/>
      <c r="L15" s="47"/>
      <c r="R15" s="37"/>
      <c r="S15" s="35"/>
      <c r="T15" s="35"/>
      <c r="U15" s="35"/>
      <c r="V15" s="35"/>
      <c r="W15" s="35"/>
      <c r="X15" s="35"/>
      <c r="Y15" s="35"/>
      <c r="Z15" s="35"/>
    </row>
    <row r="16" spans="3:26" x14ac:dyDescent="0.25">
      <c r="E16" s="46"/>
      <c r="F16" s="47"/>
      <c r="G16" s="47"/>
      <c r="H16" s="47"/>
      <c r="I16" s="47"/>
      <c r="J16" s="47"/>
      <c r="K16" s="47"/>
      <c r="L16" s="47"/>
      <c r="R16" s="37"/>
      <c r="S16" s="35"/>
      <c r="T16" s="35"/>
      <c r="U16" s="35"/>
      <c r="V16" s="35"/>
      <c r="W16" s="35"/>
      <c r="X16" s="35"/>
      <c r="Y16" s="35"/>
      <c r="Z16" s="35"/>
    </row>
    <row r="17" spans="3:26" x14ac:dyDescent="0.25">
      <c r="C17" s="16" t="s">
        <v>53</v>
      </c>
      <c r="R17" s="37"/>
      <c r="S17" s="35"/>
      <c r="T17" s="35"/>
      <c r="U17" s="35"/>
      <c r="V17" s="35"/>
      <c r="W17" s="35"/>
      <c r="X17" s="35"/>
      <c r="Y17" s="35"/>
      <c r="Z17" s="35"/>
    </row>
    <row r="18" spans="3:26" x14ac:dyDescent="0.25">
      <c r="C18" s="43" t="s">
        <v>54</v>
      </c>
      <c r="D18" s="44"/>
      <c r="E18" s="44"/>
      <c r="F18" s="44"/>
      <c r="G18" s="44"/>
      <c r="H18" s="44"/>
      <c r="I18" s="17">
        <f>D14</f>
        <v>13.7</v>
      </c>
      <c r="J18" s="44" t="s">
        <v>55</v>
      </c>
      <c r="K18" s="44"/>
      <c r="L18" s="44"/>
      <c r="M18" s="45"/>
    </row>
    <row r="19" spans="3:26" x14ac:dyDescent="0.25">
      <c r="C19" s="43" t="s">
        <v>56</v>
      </c>
      <c r="D19" s="44"/>
      <c r="E19" s="44"/>
      <c r="F19" s="44"/>
      <c r="G19" s="44"/>
      <c r="H19" s="44"/>
      <c r="I19" s="18">
        <f>D15</f>
        <v>39.07</v>
      </c>
      <c r="J19" s="50" t="s">
        <v>55</v>
      </c>
      <c r="K19" s="50"/>
      <c r="L19" s="50"/>
      <c r="M19" s="51"/>
    </row>
    <row r="23" spans="3:26" x14ac:dyDescent="0.25">
      <c r="C23" s="32" t="s">
        <v>58</v>
      </c>
    </row>
    <row r="24" spans="3:26" x14ac:dyDescent="0.25">
      <c r="C24" s="38" t="s">
        <v>77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</row>
    <row r="25" spans="3:26" x14ac:dyDescent="0.25">
      <c r="C25" s="38" t="s">
        <v>78</v>
      </c>
      <c r="D25" s="39"/>
      <c r="E25" s="39"/>
      <c r="F25" s="39"/>
      <c r="G25" s="39"/>
      <c r="H25" s="39"/>
      <c r="I25" s="39"/>
      <c r="J25" s="39"/>
      <c r="K25" s="39"/>
      <c r="L25" s="39"/>
      <c r="M25" s="39"/>
    </row>
    <row r="27" spans="3:26" x14ac:dyDescent="0.25">
      <c r="C27" s="32" t="s">
        <v>64</v>
      </c>
    </row>
    <row r="28" spans="3:26" x14ac:dyDescent="0.25">
      <c r="C28" s="40" t="s">
        <v>59</v>
      </c>
      <c r="D28" s="40"/>
      <c r="E28" s="40"/>
      <c r="F28" s="40"/>
    </row>
    <row r="29" spans="3:26" x14ac:dyDescent="0.25">
      <c r="C29" s="40" t="s">
        <v>60</v>
      </c>
      <c r="D29" s="40"/>
      <c r="E29" s="40"/>
      <c r="F29" s="40"/>
    </row>
    <row r="30" spans="3:26" x14ac:dyDescent="0.25">
      <c r="C30" s="40" t="s">
        <v>61</v>
      </c>
      <c r="D30" s="40"/>
      <c r="E30" s="40"/>
      <c r="F30" s="40"/>
    </row>
    <row r="31" spans="3:26" x14ac:dyDescent="0.25">
      <c r="C31" s="40" t="s">
        <v>71</v>
      </c>
      <c r="D31" s="40"/>
      <c r="E31" s="40"/>
      <c r="F31" s="40"/>
    </row>
    <row r="32" spans="3:26" x14ac:dyDescent="0.25">
      <c r="C32" s="40" t="s">
        <v>62</v>
      </c>
      <c r="D32" s="40"/>
      <c r="E32" s="40"/>
      <c r="F32" s="40"/>
    </row>
    <row r="33" spans="3:17" x14ac:dyDescent="0.25">
      <c r="C33" s="40" t="s">
        <v>76</v>
      </c>
      <c r="D33" s="40"/>
      <c r="E33" s="40"/>
      <c r="F33" s="40"/>
    </row>
    <row r="34" spans="3:17" x14ac:dyDescent="0.25">
      <c r="C34" s="40" t="s">
        <v>63</v>
      </c>
      <c r="D34" s="40"/>
      <c r="E34" s="40"/>
      <c r="F34" s="40"/>
    </row>
    <row r="35" spans="3:17" x14ac:dyDescent="0.25">
      <c r="C35" s="40" t="s">
        <v>65</v>
      </c>
      <c r="D35" s="40"/>
      <c r="E35" s="40"/>
      <c r="F35" s="40"/>
    </row>
    <row r="37" spans="3:17" x14ac:dyDescent="0.25">
      <c r="C37" s="32" t="s">
        <v>53</v>
      </c>
    </row>
    <row r="38" spans="3:17" x14ac:dyDescent="0.25">
      <c r="C38" s="40" t="s">
        <v>66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</row>
    <row r="39" spans="3:17" x14ac:dyDescent="0.25">
      <c r="C39" s="40" t="s">
        <v>67</v>
      </c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</row>
    <row r="40" spans="3:17" x14ac:dyDescent="0.25">
      <c r="C40" s="40" t="s">
        <v>68</v>
      </c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</row>
    <row r="41" spans="3:17" x14ac:dyDescent="0.25">
      <c r="C41" s="40" t="s">
        <v>69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</row>
    <row r="42" spans="3:17" x14ac:dyDescent="0.25">
      <c r="C42" s="40" t="s">
        <v>70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</row>
    <row r="43" spans="3:17" x14ac:dyDescent="0.25">
      <c r="C43" s="40" t="s">
        <v>72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</row>
    <row r="44" spans="3:17" x14ac:dyDescent="0.25">
      <c r="C44" s="40" t="s">
        <v>73</v>
      </c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</row>
    <row r="45" spans="3:17" x14ac:dyDescent="0.25">
      <c r="C45" s="40" t="s">
        <v>74</v>
      </c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</row>
    <row r="46" spans="3:17" x14ac:dyDescent="0.25">
      <c r="C46" s="40" t="s">
        <v>80</v>
      </c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</row>
    <row r="47" spans="3:17" x14ac:dyDescent="0.25">
      <c r="C47" s="40" t="s">
        <v>81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</row>
  </sheetData>
  <sheetProtection algorithmName="SHA-512" hashValue="cjexi4IrGY1KSWz5V0wU1UKs6jbFpVyJGluFZ61joxvw9XsdyiFl5DwoJzJGd1SKBHEQUMYcS8wZmTWaynjgpQ==" saltValue="NRx7c02aYepwFgJQzY87rQ==" spinCount="100000" sheet="1" objects="1" scenarios="1"/>
  <mergeCells count="28">
    <mergeCell ref="C9:D9"/>
    <mergeCell ref="C1:D1"/>
    <mergeCell ref="C18:H18"/>
    <mergeCell ref="J18:M18"/>
    <mergeCell ref="C19:H19"/>
    <mergeCell ref="E15:L16"/>
    <mergeCell ref="C13:D13"/>
    <mergeCell ref="J19:M19"/>
    <mergeCell ref="C47:Q47"/>
    <mergeCell ref="C33:F33"/>
    <mergeCell ref="C46:Q46"/>
    <mergeCell ref="C43:Q43"/>
    <mergeCell ref="C44:Q44"/>
    <mergeCell ref="C45:Q45"/>
    <mergeCell ref="C38:Q38"/>
    <mergeCell ref="C39:Q39"/>
    <mergeCell ref="C40:Q40"/>
    <mergeCell ref="C41:Q41"/>
    <mergeCell ref="C42:Q42"/>
    <mergeCell ref="C24:M24"/>
    <mergeCell ref="C25:M25"/>
    <mergeCell ref="C31:F31"/>
    <mergeCell ref="C34:F34"/>
    <mergeCell ref="C35:F35"/>
    <mergeCell ref="C28:F28"/>
    <mergeCell ref="C29:F29"/>
    <mergeCell ref="C30:F30"/>
    <mergeCell ref="C32:F32"/>
  </mergeCells>
  <dataValidations count="3">
    <dataValidation type="list" allowBlank="1" showInputMessage="1" showErrorMessage="1" sqref="D3">
      <formula1>$T$2:$Z$2</formula1>
    </dataValidation>
    <dataValidation type="list" operator="equal" allowBlank="1" showInputMessage="1" showErrorMessage="1" sqref="D5">
      <formula1>spd</formula1>
    </dataValidation>
    <dataValidation type="list" allowBlank="1" showInputMessage="1" showErrorMessage="1" sqref="D6:D7">
      <formula1>$X$12:$X$13</formula1>
    </dataValidation>
  </dataValidations>
  <pageMargins left="0.7" right="0.7" top="0.75" bottom="0.75" header="0.3" footer="0.3"/>
  <pageSetup paperSize="9" orientation="portrait" r:id="rId1"/>
  <headerFooter>
    <oddFooter>&amp;C&amp;"arial,Regular"&amp;10&amp;KE36C0AXILINX INTERNAL</oddFooter>
    <evenFooter>&amp;C&amp;"arial,Regular"&amp;10&amp;KE36C0AXILINX INTERNAL</evenFooter>
    <firstFooter>&amp;C&amp;"arial,Regular"&amp;10&amp;KE36C0AXILINX INTERNAL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1:W49"/>
  <sheetViews>
    <sheetView topLeftCell="C1" zoomScale="55" zoomScaleNormal="55" workbookViewId="0">
      <selection activeCell="P20" sqref="P20"/>
    </sheetView>
  </sheetViews>
  <sheetFormatPr defaultRowHeight="15" x14ac:dyDescent="0.25"/>
  <cols>
    <col min="20" max="20" width="11.140625" customWidth="1"/>
    <col min="22" max="22" width="26.140625" customWidth="1"/>
  </cols>
  <sheetData>
    <row r="11" spans="12:14" x14ac:dyDescent="0.25">
      <c r="L11" s="15"/>
      <c r="M11" s="15"/>
      <c r="N11" s="15"/>
    </row>
    <row r="12" spans="12:14" x14ac:dyDescent="0.25">
      <c r="L12" s="15"/>
      <c r="M12" s="15"/>
      <c r="N12" s="15"/>
    </row>
    <row r="15" spans="12:14" x14ac:dyDescent="0.25">
      <c r="L15" s="14"/>
      <c r="M15" s="14"/>
      <c r="N15" s="14"/>
    </row>
    <row r="16" spans="12:14" x14ac:dyDescent="0.25">
      <c r="L16" s="14"/>
      <c r="M16" s="14"/>
      <c r="N16" s="14"/>
    </row>
    <row r="35" spans="5:23" x14ac:dyDescent="0.25">
      <c r="Q35" t="s">
        <v>21</v>
      </c>
    </row>
    <row r="36" spans="5:23" x14ac:dyDescent="0.25">
      <c r="Q36" s="39" t="s">
        <v>10</v>
      </c>
      <c r="R36" s="39"/>
      <c r="S36" s="39"/>
      <c r="T36" s="39"/>
      <c r="W36" t="s">
        <v>8</v>
      </c>
    </row>
    <row r="37" spans="5:23" x14ac:dyDescent="0.25">
      <c r="E37" t="s">
        <v>22</v>
      </c>
      <c r="Q37" s="4" t="s">
        <v>11</v>
      </c>
      <c r="R37" s="4"/>
      <c r="S37" s="4"/>
      <c r="T37" s="4"/>
      <c r="W37" t="s">
        <v>9</v>
      </c>
    </row>
    <row r="38" spans="5:23" x14ac:dyDescent="0.25">
      <c r="E38" t="s">
        <v>23</v>
      </c>
      <c r="Q38" s="4" t="s">
        <v>12</v>
      </c>
      <c r="R38" s="4"/>
      <c r="S38" s="4"/>
      <c r="T38" s="4"/>
    </row>
    <row r="39" spans="5:23" x14ac:dyDescent="0.25">
      <c r="Q39" s="1"/>
    </row>
    <row r="40" spans="5:23" x14ac:dyDescent="0.25">
      <c r="Q40" s="4" t="s">
        <v>14</v>
      </c>
      <c r="R40" s="4"/>
      <c r="S40" s="4"/>
      <c r="T40" s="4"/>
    </row>
    <row r="41" spans="5:23" x14ac:dyDescent="0.25">
      <c r="Q41" s="4" t="s">
        <v>15</v>
      </c>
      <c r="R41" s="4"/>
      <c r="S41" s="4"/>
      <c r="T41" s="4"/>
    </row>
    <row r="43" spans="5:23" x14ac:dyDescent="0.25">
      <c r="F43" s="52" t="s">
        <v>13</v>
      </c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</row>
    <row r="44" spans="5:23" x14ac:dyDescent="0.25"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</row>
    <row r="45" spans="5:23" x14ac:dyDescent="0.25"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</row>
    <row r="46" spans="5:23" x14ac:dyDescent="0.25"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2"/>
    </row>
    <row r="47" spans="5:23" x14ac:dyDescent="0.25"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5:23" x14ac:dyDescent="0.25"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</row>
    <row r="49" spans="6:21" x14ac:dyDescent="0.25"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</row>
  </sheetData>
  <mergeCells count="2">
    <mergeCell ref="Q36:T36"/>
    <mergeCell ref="F43:U49"/>
  </mergeCells>
  <pageMargins left="0.7" right="0.7" top="0.75" bottom="0.75" header="0.3" footer="0.3"/>
  <pageSetup paperSize="9" orientation="portrait" r:id="rId1"/>
  <headerFooter>
    <oddFooter>&amp;C&amp;"arial,Regular"&amp;10&amp;KE36C0AXILINX INTERNAL</oddFooter>
    <evenFooter>&amp;C&amp;"arial,Regular"&amp;10&amp;KE36C0AXILINX INTERNAL</evenFooter>
    <firstFooter>&amp;C&amp;"arial,Regular"&amp;10&amp;KE36C0AXILINX INTERNAL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28:W41"/>
  <sheetViews>
    <sheetView topLeftCell="C1" zoomScale="85" zoomScaleNormal="85" workbookViewId="0">
      <selection activeCell="P20" sqref="P20"/>
    </sheetView>
  </sheetViews>
  <sheetFormatPr defaultRowHeight="15" x14ac:dyDescent="0.25"/>
  <cols>
    <col min="20" max="20" width="11.140625" customWidth="1"/>
    <col min="22" max="22" width="26.140625" customWidth="1"/>
  </cols>
  <sheetData>
    <row r="28" spans="17:23" x14ac:dyDescent="0.25">
      <c r="Q28" s="39" t="s">
        <v>10</v>
      </c>
      <c r="R28" s="39"/>
      <c r="S28" s="39"/>
      <c r="T28" s="39"/>
      <c r="W28" t="s">
        <v>8</v>
      </c>
    </row>
    <row r="29" spans="17:23" x14ac:dyDescent="0.25">
      <c r="Q29" s="4" t="s">
        <v>11</v>
      </c>
      <c r="R29" s="4"/>
      <c r="S29" s="4"/>
      <c r="T29" s="4"/>
      <c r="W29" t="s">
        <v>9</v>
      </c>
    </row>
    <row r="30" spans="17:23" x14ac:dyDescent="0.25">
      <c r="Q30" s="4" t="s">
        <v>12</v>
      </c>
      <c r="R30" s="4"/>
      <c r="S30" s="4"/>
      <c r="T30" s="4"/>
    </row>
    <row r="31" spans="17:23" x14ac:dyDescent="0.25">
      <c r="Q31" s="6"/>
    </row>
    <row r="32" spans="17:23" x14ac:dyDescent="0.25">
      <c r="Q32" s="4" t="s">
        <v>14</v>
      </c>
      <c r="R32" s="4"/>
      <c r="S32" s="4"/>
      <c r="T32" s="4"/>
    </row>
    <row r="33" spans="6:22" x14ac:dyDescent="0.25">
      <c r="Q33" s="4" t="s">
        <v>15</v>
      </c>
      <c r="R33" s="4"/>
      <c r="S33" s="4"/>
      <c r="T33" s="4"/>
    </row>
    <row r="35" spans="6:22" x14ac:dyDescent="0.25">
      <c r="F35" s="52" t="s">
        <v>13</v>
      </c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6:22" x14ac:dyDescent="0.25"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</row>
    <row r="37" spans="6:22" x14ac:dyDescent="0.25"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</row>
    <row r="38" spans="6:22" x14ac:dyDescent="0.25"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2"/>
    </row>
    <row r="39" spans="6:22" x14ac:dyDescent="0.25"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</row>
    <row r="40" spans="6:22" x14ac:dyDescent="0.25"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</row>
    <row r="41" spans="6:22" x14ac:dyDescent="0.25"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</row>
  </sheetData>
  <mergeCells count="2">
    <mergeCell ref="Q28:T28"/>
    <mergeCell ref="F35:U41"/>
  </mergeCells>
  <pageMargins left="0.7" right="0.7" top="0.75" bottom="0.75" header="0.3" footer="0.3"/>
  <pageSetup paperSize="9" orientation="portrait" r:id="rId1"/>
  <headerFooter>
    <oddFooter>&amp;C&amp;"arial,Regular"&amp;10&amp;KE36C0AXILINX INTERNAL</oddFooter>
    <evenFooter>&amp;C&amp;"arial,Regular"&amp;10&amp;KE36C0AXILINX INTERNAL</evenFooter>
    <firstFooter>&amp;C&amp;"arial,Regular"&amp;10&amp;KE36C0AXILINX INTERNAL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2:R15"/>
  <sheetViews>
    <sheetView topLeftCell="E1" zoomScale="85" zoomScaleNormal="85" workbookViewId="0">
      <selection activeCell="P20" sqref="P20"/>
    </sheetView>
  </sheetViews>
  <sheetFormatPr defaultRowHeight="15" x14ac:dyDescent="0.25"/>
  <cols>
    <col min="6" max="6" width="12.28515625" bestFit="1" customWidth="1"/>
    <col min="8" max="9" width="15" bestFit="1" customWidth="1"/>
    <col min="10" max="10" width="15.7109375" bestFit="1" customWidth="1"/>
    <col min="11" max="11" width="14.7109375" bestFit="1" customWidth="1"/>
    <col min="13" max="13" width="16" bestFit="1" customWidth="1"/>
    <col min="14" max="14" width="9.7109375" bestFit="1" customWidth="1"/>
    <col min="15" max="15" width="12.140625" bestFit="1" customWidth="1"/>
    <col min="16" max="16" width="13.28515625" bestFit="1" customWidth="1"/>
  </cols>
  <sheetData>
    <row r="2" spans="6:18" x14ac:dyDescent="0.25">
      <c r="F2" s="56" t="s">
        <v>5</v>
      </c>
      <c r="G2" s="56"/>
    </row>
    <row r="4" spans="6:18" x14ac:dyDescent="0.25">
      <c r="F4" s="3" t="s">
        <v>4</v>
      </c>
      <c r="G4" s="3" t="s">
        <v>0</v>
      </c>
      <c r="H4" s="3" t="s">
        <v>1</v>
      </c>
      <c r="I4" s="3" t="s">
        <v>1</v>
      </c>
      <c r="J4" s="5" t="s">
        <v>18</v>
      </c>
      <c r="K4" s="5" t="s">
        <v>19</v>
      </c>
      <c r="M4" s="3" t="s">
        <v>20</v>
      </c>
      <c r="N4" s="3" t="s">
        <v>6</v>
      </c>
      <c r="O4" s="3" t="s">
        <v>2</v>
      </c>
      <c r="P4" s="3" t="s">
        <v>7</v>
      </c>
      <c r="Q4" s="5" t="s">
        <v>16</v>
      </c>
      <c r="R4" s="5" t="s">
        <v>17</v>
      </c>
    </row>
    <row r="5" spans="6:18" x14ac:dyDescent="0.25">
      <c r="F5" s="40">
        <v>-1</v>
      </c>
      <c r="G5" s="3">
        <v>10</v>
      </c>
      <c r="H5" s="3">
        <f>SUM(G5-(M5+N5*M5)-(O5+P5*O5))</f>
        <v>5.1090000000000009</v>
      </c>
      <c r="I5" s="3">
        <f>SUM(G5-(N5+O5*P5))</f>
        <v>9.3689999999999998</v>
      </c>
      <c r="J5" s="54">
        <f>MIN(H5,H6)</f>
        <v>5.1090000000000009</v>
      </c>
      <c r="K5" s="54">
        <f>MAX(I5,I6)</f>
        <v>22.369</v>
      </c>
      <c r="M5" s="3">
        <v>2.2999999999999998</v>
      </c>
      <c r="N5" s="3">
        <v>0.5</v>
      </c>
      <c r="O5" s="3">
        <v>1.31</v>
      </c>
      <c r="P5" s="3">
        <v>0.1</v>
      </c>
      <c r="Q5" s="5">
        <v>12</v>
      </c>
      <c r="R5" s="5">
        <v>1</v>
      </c>
    </row>
    <row r="6" spans="6:18" x14ac:dyDescent="0.25">
      <c r="F6" s="40"/>
      <c r="G6" s="3">
        <v>32</v>
      </c>
      <c r="H6" s="3">
        <f>SUM(H5+Q5+R5)</f>
        <v>18.109000000000002</v>
      </c>
      <c r="I6" s="3">
        <f>SUM(I5+Q5+R5)</f>
        <v>22.369</v>
      </c>
      <c r="J6" s="55"/>
      <c r="K6" s="55"/>
    </row>
    <row r="15" spans="6:18" x14ac:dyDescent="0.25">
      <c r="J15" t="s">
        <v>3</v>
      </c>
    </row>
  </sheetData>
  <mergeCells count="4">
    <mergeCell ref="J5:J6"/>
    <mergeCell ref="K5:K6"/>
    <mergeCell ref="F5:F6"/>
    <mergeCell ref="F2:G2"/>
  </mergeCells>
  <pageMargins left="0.7" right="0.7" top="0.75" bottom="0.75" header="0.3" footer="0.3"/>
  <pageSetup paperSize="9" orientation="portrait" r:id="rId1"/>
  <headerFooter>
    <oddFooter>&amp;C&amp;"arial,Regular"&amp;10&amp;KE36C0AXILINX INTERNAL</oddFooter>
    <evenFooter>&amp;C&amp;"arial,Regular"&amp;10&amp;KE36C0AXILINX INTERNAL</evenFooter>
    <firstFooter>&amp;C&amp;"arial,Regular"&amp;10&amp;KE36C0AXILINX 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7"/>
  <sheetViews>
    <sheetView topLeftCell="A4" zoomScaleNormal="100" workbookViewId="0">
      <selection activeCell="F23" sqref="F23"/>
    </sheetView>
  </sheetViews>
  <sheetFormatPr defaultRowHeight="15" x14ac:dyDescent="0.25"/>
  <cols>
    <col min="2" max="2" width="18.28515625" bestFit="1" customWidth="1"/>
  </cols>
  <sheetData>
    <row r="1" spans="1:14" x14ac:dyDescent="0.25">
      <c r="A1" s="57" t="s">
        <v>25</v>
      </c>
    </row>
    <row r="2" spans="1:14" x14ac:dyDescent="0.25">
      <c r="A2" s="57"/>
      <c r="E2" s="10"/>
      <c r="F2" s="9"/>
      <c r="G2" s="9"/>
      <c r="H2" s="9"/>
      <c r="I2" s="9"/>
      <c r="J2" s="9"/>
      <c r="K2" s="9"/>
      <c r="L2" s="9"/>
      <c r="M2" s="9"/>
      <c r="N2" s="9"/>
    </row>
    <row r="3" spans="1:14" x14ac:dyDescent="0.25">
      <c r="A3" s="57"/>
      <c r="B3" t="s">
        <v>26</v>
      </c>
      <c r="C3" s="7"/>
      <c r="D3" s="10"/>
    </row>
    <row r="4" spans="1:14" x14ac:dyDescent="0.25">
      <c r="A4" s="57"/>
    </row>
    <row r="5" spans="1:14" x14ac:dyDescent="0.25">
      <c r="A5" s="57"/>
      <c r="G5" s="12"/>
      <c r="H5" s="9"/>
      <c r="I5" s="9"/>
      <c r="J5" s="9"/>
      <c r="K5" s="9"/>
      <c r="L5" s="9"/>
      <c r="M5" s="9"/>
      <c r="N5" s="9"/>
    </row>
    <row r="6" spans="1:14" x14ac:dyDescent="0.25">
      <c r="A6" s="57"/>
      <c r="B6" t="s">
        <v>27</v>
      </c>
      <c r="C6" s="7"/>
      <c r="D6" s="7"/>
      <c r="E6" s="7"/>
      <c r="F6" s="7"/>
      <c r="G6" s="13"/>
    </row>
    <row r="7" spans="1:14" x14ac:dyDescent="0.25">
      <c r="A7" s="57"/>
    </row>
    <row r="8" spans="1:14" x14ac:dyDescent="0.25">
      <c r="A8" s="57"/>
      <c r="E8" s="10"/>
      <c r="F8" s="9"/>
      <c r="G8" s="9"/>
      <c r="H8" s="9"/>
      <c r="I8" s="9"/>
      <c r="J8" s="9"/>
      <c r="K8" s="9"/>
      <c r="L8" s="13"/>
    </row>
    <row r="9" spans="1:14" x14ac:dyDescent="0.25">
      <c r="A9" s="57"/>
      <c r="B9" t="s">
        <v>24</v>
      </c>
      <c r="C9" s="7"/>
      <c r="D9" s="10"/>
      <c r="L9" s="11"/>
      <c r="M9" s="7"/>
      <c r="N9" s="7"/>
    </row>
    <row r="10" spans="1:14" x14ac:dyDescent="0.25">
      <c r="A10" s="57"/>
    </row>
    <row r="11" spans="1:14" x14ac:dyDescent="0.25">
      <c r="A11" s="57"/>
      <c r="N11" s="12"/>
    </row>
    <row r="12" spans="1:14" x14ac:dyDescent="0.25">
      <c r="A12" s="57"/>
      <c r="B12" t="s">
        <v>28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13"/>
    </row>
    <row r="13" spans="1:14" x14ac:dyDescent="0.25">
      <c r="A13" s="57"/>
    </row>
    <row r="15" spans="1:14" x14ac:dyDescent="0.25">
      <c r="A15" s="57" t="s">
        <v>29</v>
      </c>
    </row>
    <row r="16" spans="1:14" x14ac:dyDescent="0.25">
      <c r="A16" s="57"/>
      <c r="H16" s="12"/>
      <c r="I16" s="9"/>
      <c r="J16" s="9"/>
      <c r="K16" s="9"/>
      <c r="L16" s="9"/>
      <c r="M16" s="9"/>
      <c r="N16" s="9"/>
    </row>
    <row r="17" spans="1:14" x14ac:dyDescent="0.25">
      <c r="A17" s="57"/>
      <c r="B17" t="s">
        <v>30</v>
      </c>
      <c r="C17" s="7"/>
      <c r="D17" s="7"/>
      <c r="E17" s="7"/>
      <c r="F17" s="7"/>
      <c r="G17" s="7"/>
      <c r="H17" s="13"/>
      <c r="I17" s="8"/>
      <c r="J17" s="8"/>
      <c r="K17" s="8"/>
    </row>
    <row r="18" spans="1:14" x14ac:dyDescent="0.25">
      <c r="A18" s="57"/>
    </row>
    <row r="19" spans="1:14" x14ac:dyDescent="0.25">
      <c r="A19" s="57"/>
      <c r="I19" s="12"/>
      <c r="J19" s="9"/>
      <c r="K19" s="9"/>
      <c r="L19" s="9"/>
      <c r="M19" s="9"/>
      <c r="N19" s="9"/>
    </row>
    <row r="20" spans="1:14" x14ac:dyDescent="0.25">
      <c r="A20" s="57"/>
      <c r="B20" t="s">
        <v>31</v>
      </c>
      <c r="C20" s="7"/>
      <c r="D20" s="7"/>
      <c r="E20" s="7"/>
      <c r="F20" s="7"/>
      <c r="G20" s="7"/>
      <c r="H20" s="7"/>
      <c r="I20" s="13"/>
      <c r="J20" s="8"/>
      <c r="K20" s="8"/>
    </row>
    <row r="21" spans="1:14" x14ac:dyDescent="0.25">
      <c r="A21" s="57"/>
    </row>
    <row r="22" spans="1:14" x14ac:dyDescent="0.25">
      <c r="A22" s="57"/>
      <c r="J22" s="12"/>
      <c r="K22" s="9"/>
      <c r="L22" s="9"/>
      <c r="M22" s="9"/>
      <c r="N22" s="9"/>
    </row>
    <row r="23" spans="1:14" x14ac:dyDescent="0.25">
      <c r="A23" s="57"/>
      <c r="B23" t="s">
        <v>32</v>
      </c>
      <c r="C23" s="7"/>
      <c r="D23" s="7"/>
      <c r="E23" s="7"/>
      <c r="F23" s="7"/>
      <c r="G23" s="7"/>
      <c r="H23" s="7"/>
      <c r="I23" s="7"/>
      <c r="J23" s="13"/>
      <c r="K23" s="8"/>
    </row>
    <row r="24" spans="1:14" x14ac:dyDescent="0.25">
      <c r="A24" s="57"/>
    </row>
    <row r="25" spans="1:14" x14ac:dyDescent="0.25">
      <c r="A25" s="57"/>
      <c r="K25" s="12"/>
      <c r="L25" s="13"/>
    </row>
    <row r="26" spans="1:14" x14ac:dyDescent="0.25">
      <c r="A26" s="57"/>
      <c r="B26" t="s">
        <v>33</v>
      </c>
      <c r="C26" s="7"/>
      <c r="D26" s="7"/>
      <c r="E26" s="7"/>
      <c r="F26" s="7"/>
      <c r="G26" s="7"/>
      <c r="H26" s="7"/>
      <c r="I26" s="7"/>
      <c r="J26" s="7"/>
      <c r="K26" s="13"/>
      <c r="L26" s="11"/>
      <c r="M26" s="7"/>
      <c r="N26" s="7"/>
    </row>
    <row r="27" spans="1:14" x14ac:dyDescent="0.25">
      <c r="A27" s="57"/>
    </row>
    <row r="28" spans="1:14" x14ac:dyDescent="0.25">
      <c r="A28" s="57"/>
      <c r="M28" s="12"/>
      <c r="N28" s="13"/>
    </row>
    <row r="29" spans="1:14" x14ac:dyDescent="0.25">
      <c r="A29" s="57"/>
      <c r="B29" t="s">
        <v>34</v>
      </c>
      <c r="C29" s="7"/>
      <c r="D29" s="7"/>
      <c r="E29" s="7"/>
      <c r="F29" s="7"/>
      <c r="G29" s="7"/>
      <c r="H29" s="7"/>
      <c r="I29" s="7"/>
      <c r="J29" s="7"/>
      <c r="K29" s="7"/>
      <c r="L29" s="7"/>
      <c r="M29" s="13"/>
      <c r="N29" s="11"/>
    </row>
    <row r="30" spans="1:14" x14ac:dyDescent="0.25">
      <c r="A30" s="57"/>
    </row>
    <row r="32" spans="1:14" x14ac:dyDescent="0.25">
      <c r="C32" t="s">
        <v>35</v>
      </c>
      <c r="D32" t="s">
        <v>36</v>
      </c>
    </row>
    <row r="33" spans="3:4" x14ac:dyDescent="0.25">
      <c r="C33" t="s">
        <v>37</v>
      </c>
      <c r="D33" t="s">
        <v>38</v>
      </c>
    </row>
    <row r="34" spans="3:4" x14ac:dyDescent="0.25">
      <c r="C34" t="s">
        <v>39</v>
      </c>
      <c r="D34" t="s">
        <v>40</v>
      </c>
    </row>
    <row r="36" spans="3:4" x14ac:dyDescent="0.25">
      <c r="D36" t="s">
        <v>41</v>
      </c>
    </row>
    <row r="37" spans="3:4" x14ac:dyDescent="0.25">
      <c r="D37" t="s">
        <v>42</v>
      </c>
    </row>
  </sheetData>
  <mergeCells count="2">
    <mergeCell ref="A1:A13"/>
    <mergeCell ref="A15:A30"/>
  </mergeCells>
  <pageMargins left="0.7" right="0.7" top="0.75" bottom="0.75" header="0.3" footer="0.3"/>
  <pageSetup orientation="portrait" verticalDpi="0" r:id="rId1"/>
  <headerFooter>
    <oddFooter>&amp;C&amp;"arial,Regular"&amp;10&amp;KE36C0AXILINX INTERNAL</oddFooter>
    <evenFooter>&amp;C&amp;"arial,Regular"&amp;10&amp;KE36C0AXILINX INTERNAL</evenFooter>
    <firstFooter>&amp;C&amp;"arial,Regular"&amp;10&amp;KE36C0AXILINX INTERNAL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E85CECDD7217B41A6B0934897B0F6CB" ma:contentTypeVersion="12" ma:contentTypeDescription="Create a new document." ma:contentTypeScope="" ma:versionID="948c8fa841d7fe5a3d3f64e830cd3458">
  <xsd:schema xmlns:xsd="http://www.w3.org/2001/XMLSchema" xmlns:xs="http://www.w3.org/2001/XMLSchema" xmlns:p="http://schemas.microsoft.com/office/2006/metadata/properties" xmlns:ns2="3a967bf2-5801-490c-b10f-6a326c424574" targetNamespace="http://schemas.microsoft.com/office/2006/metadata/properties" ma:root="true" ma:fieldsID="535970c72ae44bff5690627955bc7dfd" ns2:_="">
    <xsd:import namespace="3a967bf2-5801-490c-b10f-6a326c424574"/>
    <xsd:element name="properties">
      <xsd:complexType>
        <xsd:sequence>
          <xsd:element name="documentManagement">
            <xsd:complexType>
              <xsd:all>
                <xsd:element ref="ns2:ArticleNumber" minOccurs="0"/>
                <xsd:element ref="ns2:AssociatedARs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967bf2-5801-490c-b10f-6a326c424574" elementFormDefault="qualified">
    <xsd:import namespace="http://schemas.microsoft.com/office/2006/documentManagement/types"/>
    <xsd:import namespace="http://schemas.microsoft.com/office/infopath/2007/PartnerControls"/>
    <xsd:element name="ArticleNumber" ma:index="4" nillable="true" ma:displayName="Article Number" ma:indexed="true" ma:internalName="ArticleNumber" ma:readOnly="false" ma:percentage="FALSE">
      <xsd:simpleType>
        <xsd:restriction base="dms:Number"/>
      </xsd:simpleType>
    </xsd:element>
    <xsd:element name="AssociatedARs" ma:index="5" nillable="true" ma:displayName="AssociatedARs" ma:indexed="true" ma:internalName="AssociatedARs" ma:readOnly="false">
      <xsd:simpleType>
        <xsd:restriction base="dms:Text">
          <xsd:maxLength value="255"/>
        </xsd:restriction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rticleNumber xmlns="3a967bf2-5801-490c-b10f-6a326c424574" xsi:nil="true"/>
    <AssociatedARs xmlns="3a967bf2-5801-490c-b10f-6a326c424574">63149</AssociatedARs>
  </documentManagement>
</p:properties>
</file>

<file path=customXml/itemProps1.xml><?xml version="1.0" encoding="utf-8"?>
<ds:datastoreItem xmlns:ds="http://schemas.openxmlformats.org/officeDocument/2006/customXml" ds:itemID="{8EF75EB9-BF73-4758-8314-E8F654F403B2}"/>
</file>

<file path=customXml/itemProps2.xml><?xml version="1.0" encoding="utf-8"?>
<ds:datastoreItem xmlns:ds="http://schemas.openxmlformats.org/officeDocument/2006/customXml" ds:itemID="{E2B2E27D-6383-4631-BDBC-CA12742C34C0}"/>
</file>

<file path=customXml/itemProps3.xml><?xml version="1.0" encoding="utf-8"?>
<ds:datastoreItem xmlns:ds="http://schemas.openxmlformats.org/officeDocument/2006/customXml" ds:itemID="{F5756F26-CEFC-4749-9AAF-93A9CE83985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main</vt:lpstr>
      <vt:lpstr>tpor timing Larry</vt:lpstr>
      <vt:lpstr>tpor timing</vt:lpstr>
      <vt:lpstr>calculator</vt:lpstr>
      <vt:lpstr>Carl Diagram</vt:lpstr>
      <vt:lpstr>dev_name</vt:lpstr>
      <vt:lpstr>Device</vt:lpstr>
      <vt:lpstr>device_name</vt:lpstr>
      <vt:lpstr>Enter_device</vt:lpstr>
      <vt:lpstr>spd</vt:lpstr>
      <vt:lpstr>speed</vt:lpstr>
      <vt:lpstr>zynq_dev</vt:lpstr>
      <vt:lpstr>zynq_speed</vt:lpstr>
    </vt:vector>
  </TitlesOfParts>
  <Company>Xilinx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keywords>Internal, None, None</cp:keywords>
  <cp:lastModifiedBy>admin</cp:lastModifiedBy>
  <dcterms:created xsi:type="dcterms:W3CDTF">2014-12-04T06:44:36Z</dcterms:created>
  <dcterms:modified xsi:type="dcterms:W3CDTF">2015-02-19T21:54:20Z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2fa760ca-35b6-4437-bc6b-79e76c70bc73</vt:lpwstr>
  </property>
  <property fmtid="{D5CDD505-2E9C-101B-9397-08002B2CF9AE}" pid="3" name="TITUSCustom1">
    <vt:lpwstr>1</vt:lpwstr>
  </property>
  <property fmtid="{D5CDD505-2E9C-101B-9397-08002B2CF9AE}" pid="4" name="ContentTypeId">
    <vt:lpwstr>0x0101009E85CECDD7217B41A6B0934897B0F6CB</vt:lpwstr>
  </property>
  <property fmtid="{D5CDD505-2E9C-101B-9397-08002B2CF9AE}" pid="5" name="XilinxClassification">
    <vt:lpwstr>Internal</vt:lpwstr>
  </property>
  <property fmtid="{D5CDD505-2E9C-101B-9397-08002B2CF9AE}" pid="6" name="XilinxVisual Markings">
    <vt:lpwstr>Yes</vt:lpwstr>
  </property>
  <property fmtid="{D5CDD505-2E9C-101B-9397-08002B2CF9AE}" pid="7" name="XilinxAdditional Classifications">
    <vt:lpwstr>None</vt:lpwstr>
  </property>
  <property fmtid="{D5CDD505-2E9C-101B-9397-08002B2CF9AE}" pid="8" name="XilinxExport Control">
    <vt:lpwstr>None</vt:lpwstr>
  </property>
  <property fmtid="{D5CDD505-2E9C-101B-9397-08002B2CF9AE}" pid="9" name="XilinxNote">
    <vt:lpwstr/>
  </property>
  <property fmtid="{D5CDD505-2E9C-101B-9397-08002B2CF9AE}" pid="10" name="XilinxRemoveLegacyFooters">
    <vt:lpwstr>Yes</vt:lpwstr>
  </property>
  <property fmtid="{D5CDD505-2E9C-101B-9397-08002B2CF9AE}" pid="11" name="Order">
    <vt:r8>434200</vt:r8>
  </property>
</Properties>
</file>